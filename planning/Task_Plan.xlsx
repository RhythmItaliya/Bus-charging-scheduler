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Overview" sheetId="1" state="visible" r:id="rId3"/>
    <sheet name="Progress Dashboard" sheetId="2" state="visible" r:id="rId4"/>
    <sheet name="01 Master Backlog" sheetId="3" state="visible" r:id="rId5"/>
    <sheet name="02 Requirements Trace" sheetId="4" state="visible" r:id="rId6"/>
    <sheet name="03 Jira Backlog" sheetId="5" state="visible" r:id="rId7"/>
    <sheet name="04 Sprint Plan" sheetId="6" state="visible" r:id="rId8"/>
    <sheet name="05 AI Prompts" sheetId="7" state="visible" r:id="rId9"/>
    <sheet name="06 Architecture Checklist" sheetId="8" state="visible" r:id="rId10"/>
    <sheet name="07 Data Schema Tasks" sheetId="9" state="visible" r:id="rId11"/>
    <sheet name="08 Algorithm Breakdown" sheetId="10" state="visible" r:id="rId12"/>
    <sheet name="09 Deployment Checklist" sheetId="11" state="visible" r:id="rId13"/>
    <sheet name="10 Assumptions" sheetId="12" state="visible" r:id="rId14"/>
  </sheets>
  <definedNames>
    <definedName function="false" hidden="true" localSheetId="2" name="_xlnm._FilterDatabase" vbProcedure="false">'01 Master Backlog'!$A$1:$L$51</definedName>
    <definedName function="false" hidden="true" localSheetId="3" name="_xlnm._FilterDatabase" vbProcedure="false">'02 Requirements Trace'!$A$1:$E$48</definedName>
    <definedName function="false" hidden="true" localSheetId="4" name="_xlnm._FilterDatabase" vbProcedure="false">'03 Jira Backlog'!$A$1:$I$60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<sst xmlns="http://schemas.openxmlformats.org/spreadsheetml/2006/main" count="1647" uniqueCount="985">
  <si>
    <t xml:space="preserve">Bus Charging Scheduler — Build Plan &amp; Task Tracker</t>
  </si>
  <si>
    <t xml:space="preserve">Tick the ✓ Done column on any task sheet. Progress Dashboard updates automatically. Deadline: June 2.</t>
  </si>
  <si>
    <t xml:space="preserve">How to use the check-off system</t>
  </si>
  <si>
    <t xml:space="preserve">1. Mark a task done</t>
  </si>
  <si>
    <t xml:space="preserve">On '01 Master Backlog' (and the AI Prompts / Architecture / Deployment sheets), click the ✓ Done cell and pick ✓ from the dropdown. The whole row turns green and strikes through.</t>
  </si>
  <si>
    <t xml:space="preserve">2. Track status</t>
  </si>
  <si>
    <t xml:space="preserve">Use the Status dropdown (Not Started / In Progress / Blocked / Done) for finer state.</t>
  </si>
  <si>
    <t xml:space="preserve">3. Watch progress</t>
  </si>
  <si>
    <t xml:space="preserve">'Progress Dashboard' shows overall %, per-epic %, and per-priority completion — all live formulas.</t>
  </si>
  <si>
    <t xml:space="preserve">4. Full PDF coverage</t>
  </si>
  <si>
    <t xml:space="preserve">Every requirement from the 13-page PDF is captured: 50 tasks + 47 traced requirements. See 'Requirements Trace'.</t>
  </si>
  <si>
    <t xml:space="preserve">Tip (Excel 365)</t>
  </si>
  <si>
    <t xml:space="preserve">You can also use Insert ▸ Checkbox on the ✓ column if you prefer native checkboxes; the dropdown method works in Excel, Google Sheets and LibreOffice.</t>
  </si>
  <si>
    <t xml:space="preserve">Sheets</t>
  </si>
  <si>
    <t xml:space="preserve">Sheet</t>
  </si>
  <si>
    <t xml:space="preserve">What it contains</t>
  </si>
  <si>
    <t xml:space="preserve">Progress Dashboard</t>
  </si>
  <si>
    <t xml:space="preserve">Live completion %: overall, per epic, per priority</t>
  </si>
  <si>
    <t xml:space="preserve">01 Master Backlog</t>
  </si>
  <si>
    <t xml:space="preserve">50 tasks — ✓ Done + Status, AI-ready prompts, deps, effort, spec ref</t>
  </si>
  <si>
    <t xml:space="preserve">02 Requirements Trace</t>
  </si>
  <si>
    <t xml:space="preserve">All 47 PDF requirements mapped to tasks (full-PDF proof)</t>
  </si>
  <si>
    <t xml:space="preserve">03 Jira Backlog</t>
  </si>
  <si>
    <t xml:space="preserve">Epics/Stories with keys, points, sprint, status</t>
  </si>
  <si>
    <t xml:space="preserve">04 Sprint Plan</t>
  </si>
  <si>
    <t xml:space="preserve">4-day plan with exit criteria</t>
  </si>
  <si>
    <t xml:space="preserve">05 AI Prompts</t>
  </si>
  <si>
    <t xml:space="preserve">✓-checkable copy-paste prompts in build order</t>
  </si>
  <si>
    <t xml:space="preserve">06 Architecture Checklist</t>
  </si>
  <si>
    <t xml:space="preserve">✓-checkable design-decision gates</t>
  </si>
  <si>
    <t xml:space="preserve">07 Data Schema Tasks</t>
  </si>
  <si>
    <t xml:space="preserve">Field-by-field scenario/model/output schema</t>
  </si>
  <si>
    <t xml:space="preserve">08 Algorithm Breakdown</t>
  </si>
  <si>
    <t xml:space="preserve">Step-by-step scheduling algorithm</t>
  </si>
  <si>
    <t xml:space="preserve">09 Deployment Checklist</t>
  </si>
  <si>
    <t xml:space="preserve">✓-checkable deploy + submit steps</t>
  </si>
  <si>
    <t xml:space="preserve">10 Assumptions</t>
  </si>
  <si>
    <t xml:space="preserve">Assumptions for ARCHITECTURE.md</t>
  </si>
  <si>
    <t xml:space="preserve">Auto-calculated from the ✓ Done column on '01 Master Backlog'.</t>
  </si>
  <si>
    <t xml:space="preserve">OVERALL</t>
  </si>
  <si>
    <t xml:space="preserve">Total tasks</t>
  </si>
  <si>
    <t xml:space="preserve">Done</t>
  </si>
  <si>
    <t xml:space="preserve">Remaining</t>
  </si>
  <si>
    <t xml:space="preserve">Completion %</t>
  </si>
  <si>
    <t xml:space="preserve">Total est. hours</t>
  </si>
  <si>
    <t xml:space="preserve">Hours done</t>
  </si>
  <si>
    <t xml:space="preserve">BY EPIC</t>
  </si>
  <si>
    <t xml:space="preserve">Epic</t>
  </si>
  <si>
    <t xml:space="preserve">Total</t>
  </si>
  <si>
    <t xml:space="preserve">% Complete</t>
  </si>
  <si>
    <t xml:space="preserve">Progress</t>
  </si>
  <si>
    <t xml:space="preserve">A. Setup &amp; Scaffolding</t>
  </si>
  <si>
    <t xml:space="preserve">B. Data Model &amp; Schema</t>
  </si>
  <si>
    <t xml:space="preserve">C. Scheduling Engine</t>
  </si>
  <si>
    <t xml:space="preserve">D. Internal API / Contracts</t>
  </si>
  <si>
    <t xml:space="preserve">E. Frontend (Streamlit)</t>
  </si>
  <si>
    <t xml:space="preserve">F. Scenario Data</t>
  </si>
  <si>
    <t xml:space="preserve">G. Testing</t>
  </si>
  <si>
    <t xml:space="preserve">H. Documentation</t>
  </si>
  <si>
    <t xml:space="preserve">I. Deployment</t>
  </si>
  <si>
    <t xml:space="preserve">BY PRIORITY</t>
  </si>
  <si>
    <t xml:space="preserve">Priority</t>
  </si>
  <si>
    <t xml:space="preserve">P0</t>
  </si>
  <si>
    <t xml:space="preserve">P1</t>
  </si>
  <si>
    <t xml:space="preserve">P2</t>
  </si>
  <si>
    <t xml:space="preserve">FULL PDF REVIEW COVERAGE</t>
  </si>
  <si>
    <t xml:space="preserve">All 13 PDF pages reviewed. 47 requirements captured and traced (see '02 Requirements Trace'); 50 build tasks defined. Coverage = 47/47.</t>
  </si>
  <si>
    <t xml:space="preserve">✓ Done</t>
  </si>
  <si>
    <t xml:space="preserve">ID</t>
  </si>
  <si>
    <t xml:space="preserve">Layer</t>
  </si>
  <si>
    <t xml:space="preserve">Task</t>
  </si>
  <si>
    <t xml:space="preserve">Implementation Prompt (AI-ready)</t>
  </si>
  <si>
    <t xml:space="preserve">Acceptance Criteria</t>
  </si>
  <si>
    <t xml:space="preserve">Dependencies</t>
  </si>
  <si>
    <t xml:space="preserve">Effort (hrs)</t>
  </si>
  <si>
    <t xml:space="preserve">Status</t>
  </si>
  <si>
    <t xml:space="preserve">Spec Ref</t>
  </si>
  <si>
    <t xml:space="preserve">A1</t>
  </si>
  <si>
    <t xml:space="preserve">DevOps / Repo</t>
  </si>
  <si>
    <t xml:space="preserve">Initialize repo &amp; folder structure</t>
  </si>
  <si>
    <t xml:space="preserve">Create a public-ready Python repo named `bus-charging-scheduler`. Lay out this structure: `app.py` (Streamlit entry), `scheduler/` (engine package), `scheduler/rules/` (pluggable rules), `data/scenarios/` (scenario files), `tests/`, `requirements.txt`, `README.md`, `ARCHITECTURE.md`, `.gitignore` (Python). Add empty `__init__.py` to every package. One repo, one process — no separate services.</t>
  </si>
  <si>
    <t xml:space="preserve">Repo tree matches the layout; `python -c 'import scheduler'` works; .gitignore excludes __pycache__, .venv, .streamlit/secrets.</t>
  </si>
  <si>
    <t xml:space="preserve">-</t>
  </si>
  <si>
    <t xml:space="preserve">Not Started</t>
  </si>
  <si>
    <t xml:space="preserve">Stack &amp; hosting; Deliverable 2</t>
  </si>
  <si>
    <t xml:space="preserve">A2</t>
  </si>
  <si>
    <t xml:space="preserve">Author requirements.txt</t>
  </si>
  <si>
    <t xml:space="preserve">Create `requirements.txt` pinned to known-good versions: streamlit, pandas. Add `ortools` ONLY if you choose the CP-SAT optimizer path (keep optional). Keep the list minimal so Streamlit Community Cloud installs cleanly from this file.</t>
  </si>
  <si>
    <t xml:space="preserve">`pip install -r requirements.txt` succeeds in a clean venv; Streamlit Cloud build reads it automatically.</t>
  </si>
  <si>
    <t xml:space="preserve">Stack &amp; hosting (requirements.txt)</t>
  </si>
  <si>
    <t xml:space="preserve">A3</t>
  </si>
  <si>
    <t xml:space="preserve">Backend / Config</t>
  </si>
  <si>
    <t xml:space="preserve">Central constants &amp; world config module</t>
  </si>
  <si>
    <t xml:space="preserve">Create `scheduler/config.py` holding ONLY physical/world defaults that are not part of a scenario: default SPEED_KMPH=60, CHARGE_MINUTES=25, BATTERY_RANGE_KM=240. Expose as a frozen dataclass `WorldDefaults`. Everything else (route, stations, weights, buses) must come from the scenario file, NOT from here. Document that these are overridable per-scenario.</t>
  </si>
  <si>
    <t xml:space="preserve">No magic numbers anywhere else in the codebase; grep for 25/240/60 returns only config.py.</t>
  </si>
  <si>
    <t xml:space="preserve">Physical constants; tunable/no-hardcode mandate</t>
  </si>
  <si>
    <t xml:space="preserve">A4</t>
  </si>
  <si>
    <t xml:space="preserve">Docs</t>
  </si>
  <si>
    <t xml:space="preserve">README skeleton</t>
  </si>
  <si>
    <t xml:space="preserve">Create `README.md` with section stubs: Overview, Live link, Run locally, Project layout, How to change a weight, How to add a new rule, Scenarios, Assumptions. Fill prose later (H1).</t>
  </si>
  <si>
    <t xml:space="preserve">All required README sections present as headers.</t>
  </si>
  <si>
    <t xml:space="preserve">Deliverable: README.md</t>
  </si>
  <si>
    <t xml:space="preserve">A5</t>
  </si>
  <si>
    <t xml:space="preserve">ARCHITECTURE skeleton</t>
  </si>
  <si>
    <t xml:space="preserve">Create `ARCHITECTURE.md` with stubs: Framework choice &amp; why, Data structure design, Anticipated future changes (table), Change a weight (code example), Add a rule (code example), Assumptions. Fill later (H2-H6).</t>
  </si>
  <si>
    <t xml:space="preserve">All required ARCHITECTURE sections present as headers.</t>
  </si>
  <si>
    <t xml:space="preserve">Deliverable: ARCHITECTURE.md</t>
  </si>
  <si>
    <t xml:space="preserve">B1</t>
  </si>
  <si>
    <t xml:space="preserve">Data / Schema</t>
  </si>
  <si>
    <t xml:space="preserve">Route &amp; segment model</t>
  </si>
  <si>
    <t xml:space="preserve">In `scheduler/model.py` define a `Segment(from_node, to_node, distance_km)` dataclass and a `Route(nodes: list[str], segments: list[Segment])`. Provide `distance_between(node_a, node_b)` and `cumulative_distance(node)`. Route must be data-driven (read from scenario), so changing a segment distance or adding a node is data-only.</t>
  </si>
  <si>
    <t xml:space="preserve">Route built from a list of nodes+distances; querying B-&gt;C returns 100; adding node 'E' needs no code change.</t>
  </si>
  <si>
    <t xml:space="preserve">Route table; 'change a segment distance' curveball</t>
  </si>
  <si>
    <t xml:space="preserve">B2</t>
  </si>
  <si>
    <t xml:space="preserve">Station model with charger count</t>
  </si>
  <si>
    <t xml:space="preserve">Define `Station(id, node, num_chargers=1)`. Store stations as data on the scenario, keyed by node. `num_chargers` MUST be a field (today=1) so 'double the chargers' is a data edit. Only intermediate nodes (A,B,C,D) are stations; endpoints are not.</t>
  </si>
  <si>
    <t xml:space="preserve">Station carries num_chargers; setting num_chargers=2 requires no engine code change (see C7).</t>
  </si>
  <si>
    <t xml:space="preserve">1 charger per station; 'double the chargers' curveball</t>
  </si>
  <si>
    <t xml:space="preserve">B3</t>
  </si>
  <si>
    <t xml:space="preserve">Operator model</t>
  </si>
  <si>
    <t xml:space="preserve">Define operators as a simple set/registry derived from buses, plus an optional `Operator(id, attributes={})` for future per-operator config (priority, SLA). Do not hardcode the 3 names; derive from data.</t>
  </si>
  <si>
    <t xml:space="preserve">Operators discovered from bus list; adding 'newop' is data-only.</t>
  </si>
  <si>
    <t xml:space="preserve">B4</t>
  </si>
  <si>
    <t xml:space="preserve">3 operators; 'swap in a new operator' curveball</t>
  </si>
  <si>
    <t xml:space="preserve">Bus model</t>
  </si>
  <si>
    <t xml:space="preserve">Define `Bus(id, operator, direction, departure_min, origin, range_km=None, priority=0)`. `direction` is derived from origin/destination via the route, not an enum hardcoded to two values. `range_km` defaults to scenario battery range but is per-bus overridable. `priority` field reserved for future priority-bus rule.</t>
  </si>
  <si>
    <t xml:space="preserve">Bus supports per-bus range &amp; priority fields even though scenarios don't use them yet.</t>
  </si>
  <si>
    <t xml:space="preserve">Buses table; priority buses &amp; variable range (future)</t>
  </si>
  <si>
    <t xml:space="preserve">B5</t>
  </si>
  <si>
    <t xml:space="preserve">Scenario file schema (THE data structure)</t>
  </si>
  <si>
    <t xml:space="preserve">Design the scenario file as JSON (or YAML). Top-level keys: `name`, `world` (speed, charge_minutes, battery_range), `route` (nodes + segment distances), `stations` (node -&gt; num_chargers), `weights` (individual, operator, overall + open dict for future weights), `buses` (list). This single file fully describes a situation. Write `data/scenarios/scenario_1.json` as the canonical example and document the schema inline in ARCHITECTURE.</t>
  </si>
  <si>
    <t xml:space="preserve">A scenario file alone fully specifies the world; reviewer can read it and understand the input.</t>
  </si>
  <si>
    <t xml:space="preserve">B1,B2,B4</t>
  </si>
  <si>
    <t xml:space="preserve">'A scenario IS your data structure'; design data first</t>
  </si>
  <si>
    <t xml:space="preserve">B6</t>
  </si>
  <si>
    <t xml:space="preserve">Weights model (open/extensible)</t>
  </si>
  <si>
    <t xml:space="preserve">Represent weights as a dict `{individual:1.0, operator:1.0, overall:1.0, ...}` loaded from the scenario, NOT constants. The cost function reads weights by key, so adding a new weighted term = add a key + a rule, no engine edit. Provide a default-merge so missing keys fall back to 1.0.</t>
  </si>
  <si>
    <t xml:space="preserve">Changing operator weight to 2.0 is a one-value edit in the scenario JSON; new weight keys are accepted without code change.</t>
  </si>
  <si>
    <t xml:space="preserve">Tunable weights, one obvious place, not hardcoded</t>
  </si>
  <si>
    <t xml:space="preserve">B7</t>
  </si>
  <si>
    <t xml:space="preserve">Output / result model</t>
  </si>
  <si>
    <t xml:space="preserve">Define output dataclasses: `ChargeEvent(station, arrive_min, start_min, wait_min, end_min)`, `BusPlan(bus_id, charge_events:list, arrival_min, total_wait)`, `ScheduleResult(bus_plans:list, station_order:dict[node-&gt;list[bus_id]], objective_breakdown:dict)`. This is what the UI renders.</t>
  </si>
  <si>
    <t xml:space="preserve">Result object carries everything the per-bus and per-station views need; serializable for debugging.</t>
  </si>
  <si>
    <t xml:space="preserve">Output: timeline, waits, arrival, station order</t>
  </si>
  <si>
    <t xml:space="preserve">B8</t>
  </si>
  <si>
    <t xml:space="preserve">Backend / Loader</t>
  </si>
  <si>
    <t xml:space="preserve">Scenario loader + validator</t>
  </si>
  <si>
    <t xml:space="preserve">Write `scheduler/loader.py: load_scenario(path) -&gt; Scenario`. Parse JSON into model objects, merge world defaults, validate: distances&gt;0, every bus operator non-empty, departure&gt;=0, route connected, station nodes ⊆ route intermediate nodes. Raise clear errors. Add `list_scenarios(dir)` for the dropdown.</t>
  </si>
  <si>
    <t xml:space="preserve">All 5 files load; a malformed file raises a readable ValueError; list_scenarios returns 5 names.</t>
  </si>
  <si>
    <t xml:space="preserve">Reads any scenario from your data files</t>
  </si>
  <si>
    <t xml:space="preserve">C1</t>
  </si>
  <si>
    <t xml:space="preserve">Algorithm / Physics</t>
  </si>
  <si>
    <t xml:space="preserve">Travel-time &amp; distance helpers</t>
  </si>
  <si>
    <t xml:space="preserve">In `scheduler/physics.py`: `travel_minutes(distance_km, speed_kmph)`, `arrival_time_at(node, bus, route, speed)` returning clock minutes a bus reaches each node assuming no waiting yet. Use consistent speed from world config. Pure functions, fully unit-testable.</t>
  </si>
  <si>
    <t xml:space="preserve">60 km/h over 100 km returns 100 min; arrival at A for a 19:00 BK bus = departure+100.</t>
  </si>
  <si>
    <t xml:space="preserve">B1,B4</t>
  </si>
  <si>
    <t xml:space="preserve">Travel time from distance; consistent speed</t>
  </si>
  <si>
    <t xml:space="preserve">C2</t>
  </si>
  <si>
    <t xml:space="preserve">Algorithm / Feasibility</t>
  </si>
  <si>
    <t xml:space="preserve">Feasible charging-plan generator</t>
  </si>
  <si>
    <t xml:space="preserve">In `scheduler/plans.py: candidate_plans(bus, route, range_km) -&gt; list[list[node]]`. Enumerate ordered subsets of the bus's downstream stations such that no leg (start-&gt;first, between charges, last-&gt;dest) exceeds range_km, and stations are visited in route order (no backtracking). Return all feasible station-subset plans for the scheduler to choose among.</t>
  </si>
  <si>
    <t xml:space="preserve">BK bus (540 km, 240 range) yields only plans with &gt;=2 charges; every returned plan respects the 240 km leg constraint; KB direction enumerates its own station order.</t>
  </si>
  <si>
    <t xml:space="preserve">240km rule; &gt;=2 charges for BK; route order; no backtrack</t>
  </si>
  <si>
    <t xml:space="preserve">C3</t>
  </si>
  <si>
    <t xml:space="preserve">Backend / Framework</t>
  </si>
  <si>
    <t xml:space="preserve">Pluggable Rule base + registry</t>
  </si>
  <si>
    <t xml:space="preserve">Create `scheduler/rules/base.py` with an abstract `Rule` (name, kind in {'hard','soft'}, `def evaluate(context) -&gt; float|bool`). Hard rules return feasibility (bool/inf cost); soft rules return a non-negative penalty. Create a `RuleRegistry` that auto-discovers rule instances. Engine consumes the registry generically — adding a rule = drop a file + register, NO engine edit.</t>
  </si>
  <si>
    <t xml:space="preserve">A new rule file added to rules/ is picked up automatically; engine code does not mention specific rule names.</t>
  </si>
  <si>
    <t xml:space="preserve">Add a new rule without rewriting the engine</t>
  </si>
  <si>
    <t xml:space="preserve">C4</t>
  </si>
  <si>
    <t xml:space="preserve">Algorithm / Hard Rules</t>
  </si>
  <si>
    <t xml:space="preserve">Implement hard rules</t>
  </si>
  <si>
    <t xml:space="preserve">As Rule subclasses: `RangeRule` (no leg &gt; range), `ChargerExclusivityRule` (&lt;= num_chargers buses overlapping at a station), `ChargeDurationRule` (exactly charge_minutes), `RouteOrderRule` (no backtracking). Each is independently testable and registered as kind='hard'.</t>
  </si>
  <si>
    <t xml:space="preserve">Each hard rule flags the corresponding violation in a crafted bad schedule; valid schedule passes all.</t>
  </si>
  <si>
    <t xml:space="preserve">All four hard rules that must always hold</t>
  </si>
  <si>
    <t xml:space="preserve">C5</t>
  </si>
  <si>
    <t xml:space="preserve">Algorithm / Soft Rules</t>
  </si>
  <si>
    <t xml:space="preserve">Implement weighted soft rules</t>
  </si>
  <si>
    <t xml:space="preserve">As Rule subclasses kind='soft': `IndividualWaitRule` (penalty ~ per-bus wait/lateness), `OperatorRule` (penalty ~ variance/total wait within each operator fleet), `OverallRule` (penalty ~ network total time / makespan). Each multiplies its penalty by the matching weight read from scenario weights by key.</t>
  </si>
  <si>
    <t xml:space="preserve">Setting operator weight 2.0 measurably increases operator term's influence; each rule reads its own weight key.</t>
  </si>
  <si>
    <t xml:space="preserve">C3,B6</t>
  </si>
  <si>
    <t xml:space="preserve">3 soft rules; tunable weights drive behavior</t>
  </si>
  <si>
    <t xml:space="preserve">C6</t>
  </si>
  <si>
    <t xml:space="preserve">Algorithm / Objective</t>
  </si>
  <si>
    <t xml:space="preserve">Weighted objective aggregator</t>
  </si>
  <si>
    <t xml:space="preserve">In `scheduler/objective.py: score(schedule, registry, weights) -&gt; (feasible:bool, total_cost:float, breakdown:dict)`. Sum soft penalties * weights; if any hard rule fails -&gt; infeasible. Return per-term breakdown for transparency/debugging and for ARCHITECTURE evidence.</t>
  </si>
  <si>
    <t xml:space="preserve">Breakdown sums to total_cost; infeasible schedule reports which hard rule failed.</t>
  </si>
  <si>
    <t xml:space="preserve">C4,C5</t>
  </si>
  <si>
    <t xml:space="preserve">Weigh three soft rules; defensible scoring</t>
  </si>
  <si>
    <t xml:space="preserve">C7</t>
  </si>
  <si>
    <t xml:space="preserve">Algorithm / Resource</t>
  </si>
  <si>
    <t xml:space="preserve">Charger arbitration (single &amp; multi-charger)</t>
  </si>
  <si>
    <t xml:space="preserve">Model each station as a resource with `num_chargers` time-slots of length charge_minutes. `reserve(station, requested_start) -&gt; actual_start` assigns the earliest free charger &gt;= requested_start, computing wait. Generalize over num_chargers so 1 vs 2 chargers is data-only. This resolves 'who goes first, who waits'.</t>
  </si>
  <si>
    <t xml:space="preserve">With 1 charger, overlapping requests serialize (second waits); with num_chargers=2 two buses charge concurrently — no code change, only data.</t>
  </si>
  <si>
    <t xml:space="preserve">One bus per charger; decide order &amp; waits; 'double chargers'</t>
  </si>
  <si>
    <t xml:space="preserve">C8</t>
  </si>
  <si>
    <t xml:space="preserve">Algorithm / Core</t>
  </si>
  <si>
    <t xml:space="preserve">Core scheduler orchestration</t>
  </si>
  <si>
    <t xml:space="preserve">Implement the chosen approach in `scheduler/engine.py: schedule(scenario) -&gt; ScheduleResult`. RECOMMENDED: deterministic, event-driven greedy — process charge requests in time order; for each bus pick the feasible candidate plan + charger ordering that minimizes the weighted objective (C6) given commitments so far; tie-break by bus priority then departure then id. Keep the search strategy swappable (Strategy pattern) so CP-SAT/ILP can replace greedy later without touching rules or data.</t>
  </si>
  <si>
    <t xml:space="preserve">Returns a complete ScheduleResult for all buses; deterministic across runs; swapping strategy class doesn't touch rules.</t>
  </si>
  <si>
    <t xml:space="preserve">C2,C6,C7</t>
  </si>
  <si>
    <t xml:space="preserve">Decides plans + order; approach must be defensible &amp; scalable</t>
  </si>
  <si>
    <t xml:space="preserve">C9</t>
  </si>
  <si>
    <t xml:space="preserve">Algorithm / Output</t>
  </si>
  <si>
    <t xml:space="preserve">Per-bus timeline computation</t>
  </si>
  <si>
    <t xml:space="preserve">From engine commitments, build each `BusPlan`: arrival at each station, charge start (after wait), wait minutes, charge end, departure, and final arrival at destination. Compose into ScheduleResult.bus_plans.</t>
  </si>
  <si>
    <t xml:space="preserve">Each bus timeline is internally consistent (end=start+charge_minutes; next leg arrival = prev end + travel).</t>
  </si>
  <si>
    <t xml:space="preserve">Compute per-bus timeline: charge where/when, wait, arrival</t>
  </si>
  <si>
    <t xml:space="preserve">C10</t>
  </si>
  <si>
    <t xml:space="preserve">Per-station ordering output</t>
  </si>
  <si>
    <t xml:space="preserve">Populate `station_order[node] = [bus_id ...]` sorted by actual charge start time at each station, including which charger index when multi-charger. This feeds the per-station view.</t>
  </si>
  <si>
    <t xml:space="preserve">Order at each station matches charge start times; consistent with bus timelines.</t>
  </si>
  <si>
    <t xml:space="preserve">Per-station view: order buses charged</t>
  </si>
  <si>
    <t xml:space="preserve">C11</t>
  </si>
  <si>
    <t xml:space="preserve">Algorithm / Validation</t>
  </si>
  <si>
    <t xml:space="preserve">Post-schedule invariant check</t>
  </si>
  <si>
    <t xml:space="preserve">After scheduling, run all hard rules over the final ScheduleResult and assert zero violations (defensive double-check). Expose `validate(result, scenario) -&gt; list[Violation]`. Surface any violation loudly (the schedule must never silently break the 240 km rule).</t>
  </si>
  <si>
    <t xml:space="preserve">validate() returns [] for all 5 scenarios; deliberately corrupted result returns specific violations.</t>
  </si>
  <si>
    <t xml:space="preserve">C8,C4</t>
  </si>
  <si>
    <t xml:space="preserve">Correctness: schedules respect all hard rules</t>
  </si>
  <si>
    <t xml:space="preserve">D1</t>
  </si>
  <si>
    <t xml:space="preserve">API / Contract</t>
  </si>
  <si>
    <t xml:space="preserve">Loader -&gt; Engine contract</t>
  </si>
  <si>
    <t xml:space="preserve">Define a clean function boundary: UI/CLI calls `load_scenario(path)` then `schedule(scenario)`. No Streamlit imports inside scheduler package (engine must be usable headless / from tests / future REST API).</t>
  </si>
  <si>
    <t xml:space="preserve">Engine importable and runnable with zero Streamlit dependency; `python -m scheduler.engine data/scenarios/scenario_1.json` prints a result.</t>
  </si>
  <si>
    <t xml:space="preserve">B8,C8</t>
  </si>
  <si>
    <t xml:space="preserve">Scalability: engine reusable beyond this UI</t>
  </si>
  <si>
    <t xml:space="preserve">D2</t>
  </si>
  <si>
    <t xml:space="preserve">Engine -&gt; UI result contract</t>
  </si>
  <si>
    <t xml:space="preserve">Provide adapters converting ScheduleResult into pandas DataFrames the UI needs: `to_bus_table(result)`, `to_station_table(result, node)`, `to_input_table(scenario)`. Keep formatting (HH:MM) in the adapter, not the engine.</t>
  </si>
  <si>
    <t xml:space="preserve">Adapters return tidy DataFrames; engine stays format-agnostic (minutes only).</t>
  </si>
  <si>
    <t xml:space="preserve">C9,C10</t>
  </si>
  <si>
    <t xml:space="preserve">UI renders per-bus &amp; per-station; input table</t>
  </si>
  <si>
    <t xml:space="preserve">D3</t>
  </si>
  <si>
    <t xml:space="preserve">API / Perf</t>
  </si>
  <si>
    <t xml:space="preserve">Result caching</t>
  </si>
  <si>
    <t xml:space="preserve">Wrap scenario load + schedule in `st.cache_data` keyed by scenario name + weights so re-selecting a scenario is instant and recompute only on change.</t>
  </si>
  <si>
    <t xml:space="preserve">Switching scenarios twice triggers compute once; changing a weight invalidates cache.</t>
  </si>
  <si>
    <t xml:space="preserve">Smooth UX; scalability</t>
  </si>
  <si>
    <t xml:space="preserve">E1</t>
  </si>
  <si>
    <t xml:space="preserve">Frontend / UI</t>
  </si>
  <si>
    <t xml:space="preserve">App entry, layout &amp; scenario dropdown</t>
  </si>
  <si>
    <t xml:space="preserve">In `app.py`: set page config, title, and a `st.selectbox` populated from `list_scenarios()` AT THE TOP so reviewers land on the dropdown immediately. Load the selected scenario and run the scheduler (cached). Use tabs/sections for the three views.</t>
  </si>
  <si>
    <t xml:space="preserve">Opening the app shows the dropdown first; selecting a scenario triggers a scheduled result.</t>
  </si>
  <si>
    <t xml:space="preserve">D2,B8</t>
  </si>
  <si>
    <t xml:space="preserve">Dropdown at top; land on app &amp; see it immediately</t>
  </si>
  <si>
    <t xml:space="preserve">E2</t>
  </si>
  <si>
    <t xml:space="preserve">Scenario input view</t>
  </si>
  <si>
    <t xml:space="preserve">Add a section showing the raw input: a readable table of buses (id, operator, direction, departure HH:MM) plus the world/route/stations/weights summary. Optionally show raw JSON in an expander so reviewers see exactly what's fed in.</t>
  </si>
  <si>
    <t xml:space="preserve">Reviewer can see the full input for any scenario, including the active weights.</t>
  </si>
  <si>
    <t xml:space="preserve">E1,D2</t>
  </si>
  <si>
    <t xml:space="preserve">Scenario view showing the input</t>
  </si>
  <si>
    <t xml:space="preserve">E3</t>
  </si>
  <si>
    <t xml:space="preserve">Per-bus timetable view</t>
  </si>
  <si>
    <t xml:space="preserve">Render one row (or expandable block) per bus: stations used, arrive/start/wait/end at each, and final arrival time, all HH:MM. Show charge count. Sort by departure. Make waits visually obvious (e.g., highlight non-zero waits).</t>
  </si>
  <si>
    <t xml:space="preserve">Every bus shows a complete, readable timeline; BK buses show &gt;=2 charges; waits are visible.</t>
  </si>
  <si>
    <t xml:space="preserve">Per-bus timetable: stations, time, wait, arrival</t>
  </si>
  <si>
    <t xml:space="preserve">E4</t>
  </si>
  <si>
    <t xml:space="preserve">Per-station view</t>
  </si>
  <si>
    <t xml:space="preserve">For each of A,B,C,D show the ordered list of buses that charged there (bus id, operator, charge start, wait, end, charger index if multi). One table or column per station.</t>
  </si>
  <si>
    <t xml:space="preserve">Order at each station is clear and matches the schedule; reviewer can sanity-check fairness vs weights.</t>
  </si>
  <si>
    <t xml:space="preserve">E5</t>
  </si>
  <si>
    <t xml:space="preserve">Live weight controls (optional but recommended)</t>
  </si>
  <si>
    <t xml:space="preserve">Add sidebar sliders for individual/operator/overall weights, defaulting to the scenario's values. On change, re-run the scheduler so reviewers can SEE weights change the schedule (esp. Scenario 4). Provide a 'reset to scenario defaults' button. Keep scenario file as source of truth for defaults.</t>
  </si>
  <si>
    <t xml:space="preserve">Dragging operator weight up visibly reorders Scenario 4; reset restores file defaults.</t>
  </si>
  <si>
    <t xml:space="preserve">E1,C6</t>
  </si>
  <si>
    <t xml:space="preserve">Different weights -&gt; different defensible schedules</t>
  </si>
  <si>
    <t xml:space="preserve">F1</t>
  </si>
  <si>
    <t xml:space="preserve">Data / Content</t>
  </si>
  <si>
    <t xml:space="preserve">Encode all 5 scenarios</t>
  </si>
  <si>
    <t xml:space="preserve">Create `data/scenarios/scenario_1..5.json` from the PDF tables. S1 even 15-min spacing; S2 bunched 8-min then spaced; S3 asymmetric (10 BK, 4 KB); S4 operator-heavy (KPN 8/10) with weights individual=1,operator=2,overall=1; S5 worst-case convergence 8-min both ends. All share route/world/240km/25min/1 charger; S1-3,S5 weights default 1/1/1.</t>
  </si>
  <si>
    <t xml:space="preserve">All 5 files parse; departure times &amp; operators exactly match the PDF; S4 carries operator=2.0.</t>
  </si>
  <si>
    <t xml:space="preserve">B5,B8</t>
  </si>
  <si>
    <t xml:space="preserve">Ship all 5 scenarios in your data format</t>
  </si>
  <si>
    <t xml:space="preserve">F2</t>
  </si>
  <si>
    <t xml:space="preserve">Data / QA</t>
  </si>
  <si>
    <t xml:space="preserve">Validate scheduled output for all 5</t>
  </si>
  <si>
    <t xml:space="preserve">Run engine on each scenario; eyeball per-bus and per-station outputs for sensibility (enough charges, reasonable waits, no range violations). Capture a short notes file of observed behavior per scenario for the interview.</t>
  </si>
  <si>
    <t xml:space="preserve">Every scenario produces a sensible, defensible result with zero hard-rule violations.</t>
  </si>
  <si>
    <t xml:space="preserve">F1,C11</t>
  </si>
  <si>
    <t xml:space="preserve">Cycle through all 5; every one sensible</t>
  </si>
  <si>
    <t xml:space="preserve">G1</t>
  </si>
  <si>
    <t xml:space="preserve">Testing / Unit</t>
  </si>
  <si>
    <t xml:space="preserve">Physics unit tests</t>
  </si>
  <si>
    <t xml:space="preserve">pytest in `tests/test_physics.py`: travel_minutes, arrival times for both directions, speed config respected.</t>
  </si>
  <si>
    <t xml:space="preserve">Tests pass; cover both directions and a non-60 speed.</t>
  </si>
  <si>
    <t xml:space="preserve">Code quality / correctness</t>
  </si>
  <si>
    <t xml:space="preserve">G2</t>
  </si>
  <si>
    <t xml:space="preserve">Feasibility/plan tests</t>
  </si>
  <si>
    <t xml:space="preserve">`tests/test_plans.py`: assert no candidate plan has a leg &gt;240; BK requires &gt;=2 charges; route order preserved; KB enumerates reversed station order.</t>
  </si>
  <si>
    <t xml:space="preserve">All assertions pass; an impossible range (e.g., 90km) yields no plan -&gt; handled.</t>
  </si>
  <si>
    <t xml:space="preserve">240 km rule; &gt;=2 charges</t>
  </si>
  <si>
    <t xml:space="preserve">G3</t>
  </si>
  <si>
    <t xml:space="preserve">Rule unit tests</t>
  </si>
  <si>
    <t xml:space="preserve">`tests/test_rules.py`: each hard rule flags its violation; each soft rule returns higher penalty for worse schedules; weight multiplication correct.</t>
  </si>
  <si>
    <t xml:space="preserve">Each rule has at least one positive and one negative test.</t>
  </si>
  <si>
    <t xml:space="preserve">Scalability: rules independently testable</t>
  </si>
  <si>
    <t xml:space="preserve">G4</t>
  </si>
  <si>
    <t xml:space="preserve">Testing / Invariant</t>
  </si>
  <si>
    <t xml:space="preserve">Charger exclusivity invariant test</t>
  </si>
  <si>
    <t xml:space="preserve">`tests/test_charger.py`: across a full schedule, no station has more concurrent charges than num_chargers; multi-charger config allows concurrency.</t>
  </si>
  <si>
    <t xml:space="preserve">Invariant holds for all 5 scenarios; multi-charger test passes.</t>
  </si>
  <si>
    <t xml:space="preserve">C7,C11</t>
  </si>
  <si>
    <t xml:space="preserve">One bus per charger at a time</t>
  </si>
  <si>
    <t xml:space="preserve">G5</t>
  </si>
  <si>
    <t xml:space="preserve">Testing / E2E</t>
  </si>
  <si>
    <t xml:space="preserve">End-to-end scenario tests</t>
  </si>
  <si>
    <t xml:space="preserve">`tests/test_e2e.py`: load &amp; schedule each of the 5 scenarios; assert validate()==[] and every BK bus has &gt;=2 charges and every bus arrives.</t>
  </si>
  <si>
    <t xml:space="preserve">All 5 scenarios green end-to-end.</t>
  </si>
  <si>
    <t xml:space="preserve">C11,F1</t>
  </si>
  <si>
    <t xml:space="preserve">Correctness across all scenarios</t>
  </si>
  <si>
    <t xml:space="preserve">G6</t>
  </si>
  <si>
    <t xml:space="preserve">Testing / Behavior</t>
  </si>
  <si>
    <t xml:space="preserve">Weight-sensitivity test</t>
  </si>
  <si>
    <t xml:space="preserve">`tests/test_weights.py`: run Scenario 4 with operator weight 1.0 vs 2.0 and assert the resulting station order / objective breakdown differs in the operator term.</t>
  </si>
  <si>
    <t xml:space="preserve">Different weights produce a measurably different, defensible schedule.</t>
  </si>
  <si>
    <t xml:space="preserve">C6,F1</t>
  </si>
  <si>
    <t xml:space="preserve">Different weights -&gt; different schedules</t>
  </si>
  <si>
    <t xml:space="preserve">H1</t>
  </si>
  <si>
    <t xml:space="preserve">README full write-up</t>
  </si>
  <si>
    <t xml:space="preserve">Fill README: one-line overview, live Streamlit link, `streamlit run app.py` instructions, venv + pip steps, project layout, exactly how to change a weight (point to scenario JSON + sidebar), how to add a rule (point to rules/ + 5-line example), scenario list, assumptions link.</t>
  </si>
  <si>
    <t xml:space="preserve">A new dev can clone, install, run, change a weight, and add a rule using only the README.</t>
  </si>
  <si>
    <t xml:space="preserve">A4,E5,C3</t>
  </si>
  <si>
    <t xml:space="preserve">Deliverable: README (run, change weight, add rule)</t>
  </si>
  <si>
    <t xml:space="preserve">H2</t>
  </si>
  <si>
    <t xml:space="preserve">ARCHITECTURE: framework choice &amp; why</t>
  </si>
  <si>
    <t xml:space="preserve">Explain the chosen approach (event-driven greedy + pluggable weighted rule registry, Strategy-swappable to CP-SAT). Justify fit: small instances, need for easy rule addition and weight tuning, deterministic &amp; explainable output, no heavy solver dependency. Contrast with pure ILP/CP-SAT (more optimal, heavier, harder to extend rules ad hoc) and note migration path.</t>
  </si>
  <si>
    <t xml:space="preserve">Reviewer understands why this approach fits and how it scales; trade-offs are explicit.</t>
  </si>
  <si>
    <t xml:space="preserve">A5,C8</t>
  </si>
  <si>
    <t xml:space="preserve">Docs: framework &amp; why it's the right fit</t>
  </si>
  <si>
    <t xml:space="preserve">H3</t>
  </si>
  <si>
    <t xml:space="preserve">ARCHITECTURE: anticipated future changes table</t>
  </si>
  <si>
    <t xml:space="preserve">Write the change-foresight table: for each anticipated change state how the design absorbs it WITHOUT code changes. Cover: add a station; change a segment distance; double/var chargers per station; swap/add operator; add/remove buses; new route / multiple routes sharing stations; priority buses; time-of-day electricity cost; driver shifts; partial/variable charge time; variable speed/traffic; per-bus battery range; new soft or hard rule; new weighted objective term; bigger fleets (perf).</t>
  </si>
  <si>
    <t xml:space="preserve">Breadth &amp; specificity is high; each row names the exact field/file that changes (data) vs claims 'no engine rewrite'.</t>
  </si>
  <si>
    <t xml:space="preserve">A5,B5,C3</t>
  </si>
  <si>
    <t xml:space="preserve">KEY SIGNAL: breadth of anticipated changes</t>
  </si>
  <si>
    <t xml:space="preserve">H4</t>
  </si>
  <si>
    <t xml:space="preserve">ARCHITECTURE: change-a-weight example</t>
  </si>
  <si>
    <t xml:space="preserve">Show the literal diff: edit `weights.operator` from 1.0 to 2.0 in the scenario JSON (and/or sidebar slider). Explain the cost function reads weights by key, no code touched.</t>
  </si>
  <si>
    <t xml:space="preserve">Concrete before/after snippet; verifiably one-value change.</t>
  </si>
  <si>
    <t xml:space="preserve">A5,B6</t>
  </si>
  <si>
    <t xml:space="preserve">Docs: how to change a weight w/ example</t>
  </si>
  <si>
    <t xml:space="preserve">H5</t>
  </si>
  <si>
    <t xml:space="preserve">ARCHITECTURE: add-a-rule example</t>
  </si>
  <si>
    <t xml:space="preserve">Show a full minimal new rule (e.g., `ElectricityCostRule` penalizing charging during a peak window) as a ~10-line Rule subclass dropped into rules/, plus the one-line weight key added to scenarios. Demonstrate the engine needs no edit.</t>
  </si>
  <si>
    <t xml:space="preserve">A reader could paste the example and have a working new soft rule.</t>
  </si>
  <si>
    <t xml:space="preserve">A5,C3</t>
  </si>
  <si>
    <t xml:space="preserve">Docs: how to add a rule w/ example; live add-rule test</t>
  </si>
  <si>
    <t xml:space="preserve">H6</t>
  </si>
  <si>
    <t xml:space="preserve">ARCHITECTURE: assumptions log</t>
  </si>
  <si>
    <t xml:space="preserve">Document every assumption: speed=60 km/h; charging always to full &amp; exactly 25 min; buses don't charge at endpoints; instantaneous decision/no re-planning mid-trip; ties broken by priority-&gt;departure-&gt;id; objective definitions for each soft term; what 'operator runs smoothly' means quantitatively; behavior if no feasible plan exists; whether buses may skip optional charges. Be honest about what's not done.</t>
  </si>
  <si>
    <t xml:space="preserve">Assumptions are explicit and defensible; gaps in the spec are addressed.</t>
  </si>
  <si>
    <t xml:space="preserve">Make your own calls; document assumptions</t>
  </si>
  <si>
    <t xml:space="preserve">I1</t>
  </si>
  <si>
    <t xml:space="preserve">DevOps / Deploy</t>
  </si>
  <si>
    <t xml:space="preserve">Push public GitHub repo</t>
  </si>
  <si>
    <t xml:space="preserve">Create a PUBLIC GitHub repo, push all code, data/scenarios, tests, README, ARCHITECTURE. Ensure no secrets committed. Add a clear commit history.</t>
  </si>
  <si>
    <t xml:space="preserve">Repo is public and contains all code + all 5 scenarios + both docs.</t>
  </si>
  <si>
    <t xml:space="preserve">H1,F1</t>
  </si>
  <si>
    <t xml:space="preserve">Deliverable: public GitHub repo</t>
  </si>
  <si>
    <t xml:space="preserve">I2</t>
  </si>
  <si>
    <t xml:space="preserve">Deploy to Streamlit Community Cloud</t>
  </si>
  <si>
    <t xml:space="preserve">Connect the repo on share.streamlit.io, set main file `app.py`, deploy. Confirm requirements.txt installs and app boots on the dropdown.</t>
  </si>
  <si>
    <t xml:space="preserve">Public Streamlit URL loads and shows the scenario dropdown.</t>
  </si>
  <si>
    <t xml:space="preserve">I1,A2,E1</t>
  </si>
  <si>
    <t xml:space="preserve">Deliverable: hosted public link</t>
  </si>
  <si>
    <t xml:space="preserve">I3</t>
  </si>
  <si>
    <t xml:space="preserve">DevOps / QA</t>
  </si>
  <si>
    <t xml:space="preserve">Hosted smoke test (all 5)</t>
  </si>
  <si>
    <t xml:space="preserve">On the live URL, cycle all 5 scenarios; confirm input view, per-bus timetable, per-station view all render and look sensible; test on a fresh browser/incognito.</t>
  </si>
  <si>
    <t xml:space="preserve">All 5 scenarios render correctly on the hosted app for an anonymous visitor.</t>
  </si>
  <si>
    <t xml:space="preserve">I2,F2</t>
  </si>
  <si>
    <t xml:space="preserve">How we'll test: cycle through all 5</t>
  </si>
  <si>
    <t xml:space="preserve">I4</t>
  </si>
  <si>
    <t xml:space="preserve">PM / Submit</t>
  </si>
  <si>
    <t xml:space="preserve">Submit the form</t>
  </si>
  <si>
    <t xml:space="preserve">Submit hosted URL + repo URL + approach summary + build notes via the Google Form. Re-submit if anything changes (latest wins). Deadline June 2nd.</t>
  </si>
  <si>
    <t xml:space="preserve">Form submitted with both public URLs and a crisp approach summary.</t>
  </si>
  <si>
    <t xml:space="preserve">I2,I1</t>
  </si>
  <si>
    <t xml:space="preserve">Submission form; deadline June 2</t>
  </si>
  <si>
    <t xml:space="preserve">DONE / TOTAL:</t>
  </si>
  <si>
    <t xml:space="preserve">TOTAL HOURS:</t>
  </si>
  <si>
    <t xml:space="preserve">Req ID</t>
  </si>
  <si>
    <t xml:space="preserve">Requirement (from PDF)</t>
  </si>
  <si>
    <t xml:space="preserve">Source</t>
  </si>
  <si>
    <t xml:space="preserve">Covered by Task(s)</t>
  </si>
  <si>
    <t xml:space="preserve">R1</t>
  </si>
  <si>
    <t xml:space="preserve">Python + Streamlit, one repo, one process</t>
  </si>
  <si>
    <t xml:space="preserve">p1</t>
  </si>
  <si>
    <t xml:space="preserve">A1,A2,E1</t>
  </si>
  <si>
    <t xml:space="preserve">R2</t>
  </si>
  <si>
    <t xml:space="preserve">Host on Streamlit Community Cloud (public)</t>
  </si>
  <si>
    <t xml:space="preserve">I2,I3</t>
  </si>
  <si>
    <t xml:space="preserve">R3</t>
  </si>
  <si>
    <t xml:space="preserve">requirements.txt auto-installed</t>
  </si>
  <si>
    <t xml:space="preserve">R4</t>
  </si>
  <si>
    <t xml:space="preserve">Route Bengaluru-A-B-C-D-Kochi, segments 100/120/100/120/100</t>
  </si>
  <si>
    <t xml:space="preserve">p2</t>
  </si>
  <si>
    <t xml:space="preserve">B1,F1</t>
  </si>
  <si>
    <t xml:space="preserve">R5</t>
  </si>
  <si>
    <t xml:space="preserve">Bidirectional buses share stations</t>
  </si>
  <si>
    <t xml:space="preserve">B4,C7</t>
  </si>
  <si>
    <t xml:space="preserve">R6</t>
  </si>
  <si>
    <t xml:space="preserve">Start full charge, 240 km range</t>
  </si>
  <si>
    <t xml:space="preserve">A3,B4,C2</t>
  </si>
  <si>
    <t xml:space="preserve">R7</t>
  </si>
  <si>
    <t xml:space="preserve">Only A,B,C,D scheduled; endpoints not</t>
  </si>
  <si>
    <t xml:space="preserve">B2,C2</t>
  </si>
  <si>
    <t xml:space="preserve">R8</t>
  </si>
  <si>
    <t xml:space="preserve">1 charger per station</t>
  </si>
  <si>
    <t xml:space="preserve">B2,C7</t>
  </si>
  <si>
    <t xml:space="preserve">R9</t>
  </si>
  <si>
    <t xml:space="preserve">Charging always to full, exactly 25 min</t>
  </si>
  <si>
    <t xml:space="preserve">A3,C4</t>
  </si>
  <si>
    <t xml:space="preserve">R10</t>
  </si>
  <si>
    <t xml:space="preserve">Travel time from distance, consistent speed</t>
  </si>
  <si>
    <t xml:space="preserve">A3,C1</t>
  </si>
  <si>
    <t xml:space="preserve">R11</t>
  </si>
  <si>
    <t xml:space="preserve">20 buses (10 BK + 10 KB) per scenario</t>
  </si>
  <si>
    <t xml:space="preserve">B4,F1</t>
  </si>
  <si>
    <t xml:space="preserve">R12</t>
  </si>
  <si>
    <t xml:space="preserve">Each bus has departure time</t>
  </si>
  <si>
    <t xml:space="preserve">R13</t>
  </si>
  <si>
    <t xml:space="preserve">3 operators KPN/Freshbus/Flixbus</t>
  </si>
  <si>
    <t xml:space="preserve">B3,F1</t>
  </si>
  <si>
    <t xml:space="preserve">R14</t>
  </si>
  <si>
    <t xml:space="preserve">No leg &gt; 240 km else invalid</t>
  </si>
  <si>
    <t xml:space="preserve">C2,C4,G2</t>
  </si>
  <si>
    <t xml:space="preserve">R15</t>
  </si>
  <si>
    <t xml:space="preserve">BK trip needs &gt;= 2 charges</t>
  </si>
  <si>
    <t xml:space="preserve">C2,G2</t>
  </si>
  <si>
    <t xml:space="preserve">R16</t>
  </si>
  <si>
    <t xml:space="preserve">HARD: one bus per charger at a time</t>
  </si>
  <si>
    <t xml:space="preserve">p3</t>
  </si>
  <si>
    <t xml:space="preserve">C7,G4</t>
  </si>
  <si>
    <t xml:space="preserve">R17</t>
  </si>
  <si>
    <t xml:space="preserve">HARD: charge exactly 25 min</t>
  </si>
  <si>
    <t xml:space="preserve">R18</t>
  </si>
  <si>
    <t xml:space="preserve">HARD: never run out of range</t>
  </si>
  <si>
    <t xml:space="preserve">C2,C4,C11</t>
  </si>
  <si>
    <t xml:space="preserve">R19</t>
  </si>
  <si>
    <t xml:space="preserve">HARD: stations in route order, no backtrack</t>
  </si>
  <si>
    <t xml:space="preserve">C2,C4</t>
  </si>
  <si>
    <t xml:space="preserve">R20</t>
  </si>
  <si>
    <t xml:space="preserve">SOFT: individual bus wait minimized</t>
  </si>
  <si>
    <t xml:space="preserve">R21</t>
  </si>
  <si>
    <t xml:space="preserve">SOFT: operator fleet runs smoothly</t>
  </si>
  <si>
    <t xml:space="preserve">R22</t>
  </si>
  <si>
    <t xml:space="preserve">SOFT: overall network time low</t>
  </si>
  <si>
    <t xml:space="preserve">R23</t>
  </si>
  <si>
    <t xml:space="preserve">Weights tunable, not hardcoded, one place</t>
  </si>
  <si>
    <t xml:space="preserve">A3,B6,H4</t>
  </si>
  <si>
    <t xml:space="preserve">R24</t>
  </si>
  <si>
    <t xml:space="preserve">Add a new rule without rewriting engine</t>
  </si>
  <si>
    <t xml:space="preserve">C3,H5</t>
  </si>
  <si>
    <t xml:space="preserve">R25</t>
  </si>
  <si>
    <t xml:space="preserve">Grow world (buses/stations/operators/routes) no rewrite</t>
  </si>
  <si>
    <t xml:space="preserve">B1,B2,B5,H3</t>
  </si>
  <si>
    <t xml:space="preserve">R26</t>
  </si>
  <si>
    <t xml:space="preserve">Scenario IS the data structure; design it</t>
  </si>
  <si>
    <t xml:space="preserve">p4</t>
  </si>
  <si>
    <t xml:space="preserve">B5,H3</t>
  </si>
  <si>
    <t xml:space="preserve">R27</t>
  </si>
  <si>
    <t xml:space="preserve">Ship all 5 scenarios encoded</t>
  </si>
  <si>
    <t xml:space="preserve">R28</t>
  </si>
  <si>
    <t xml:space="preserve">Default weights 1/1/1 except S4 operator=2.0</t>
  </si>
  <si>
    <t xml:space="preserve">p5</t>
  </si>
  <si>
    <t xml:space="preserve">B6,F1</t>
  </si>
  <si>
    <t xml:space="preserve">R29</t>
  </si>
  <si>
    <t xml:space="preserve">Scheduler reads any scenario from data files</t>
  </si>
  <si>
    <t xml:space="preserve">p9</t>
  </si>
  <si>
    <t xml:space="preserve">B8,E1</t>
  </si>
  <si>
    <t xml:space="preserve">R30</t>
  </si>
  <si>
    <t xml:space="preserve">Decide charging plan + station order</t>
  </si>
  <si>
    <t xml:space="preserve">C2,C8,C10</t>
  </si>
  <si>
    <t xml:space="preserve">R31</t>
  </si>
  <si>
    <t xml:space="preserve">Compute per-bus timeline (charge where/when, wait, arrival)</t>
  </si>
  <si>
    <t xml:space="preserve">C9,E3</t>
  </si>
  <si>
    <t xml:space="preserve">R32</t>
  </si>
  <si>
    <t xml:space="preserve">UI: scenario dropdown at top</t>
  </si>
  <si>
    <t xml:space="preserve">R33</t>
  </si>
  <si>
    <t xml:space="preserve">UI: scenario input view</t>
  </si>
  <si>
    <t xml:space="preserve">p10</t>
  </si>
  <si>
    <t xml:space="preserve">R34</t>
  </si>
  <si>
    <t xml:space="preserve">UI: per-bus timetable</t>
  </si>
  <si>
    <t xml:space="preserve">R35</t>
  </si>
  <si>
    <t xml:space="preserve">UI: per-station view</t>
  </si>
  <si>
    <t xml:space="preserve">R36</t>
  </si>
  <si>
    <t xml:space="preserve">No dashboards/maps/animations</t>
  </si>
  <si>
    <t xml:space="preserve">R37</t>
  </si>
  <si>
    <t xml:space="preserve">Land on app -&gt; see dropdown immediately</t>
  </si>
  <si>
    <t xml:space="preserve">E1,I3</t>
  </si>
  <si>
    <t xml:space="preserve">R38</t>
  </si>
  <si>
    <t xml:space="preserve">Deliverable: hosted link</t>
  </si>
  <si>
    <t xml:space="preserve">R39</t>
  </si>
  <si>
    <t xml:space="preserve">p11</t>
  </si>
  <si>
    <t xml:space="preserve">R40</t>
  </si>
  <si>
    <t xml:space="preserve">README (run, change weight, add rule)</t>
  </si>
  <si>
    <t xml:space="preserve">R41</t>
  </si>
  <si>
    <t xml:space="preserve">ARCHITECTURE (framework+why, data design, anticipated changes, weight/rule examples, assumptions)</t>
  </si>
  <si>
    <t xml:space="preserve">H2,H3,H4,H5,H6</t>
  </si>
  <si>
    <t xml:space="preserve">R42</t>
  </si>
  <si>
    <t xml:space="preserve">Make &amp; document assumptions</t>
  </si>
  <si>
    <t xml:space="preserve">R43</t>
  </si>
  <si>
    <t xml:space="preserve">In-memory state fine; no auth/DB/maps</t>
  </si>
  <si>
    <t xml:space="preserve">A1,D3</t>
  </si>
  <si>
    <t xml:space="preserve">R44</t>
  </si>
  <si>
    <t xml:space="preserve">Correctness: respect 240km; weights-&gt;different schedules</t>
  </si>
  <si>
    <t xml:space="preserve">C11,G5,G6</t>
  </si>
  <si>
    <t xml:space="preserve">R45</t>
  </si>
  <si>
    <t xml:space="preserve">Live: encode a fresh scenario</t>
  </si>
  <si>
    <t xml:space="preserve">p12</t>
  </si>
  <si>
    <t xml:space="preserve">B5,F1</t>
  </si>
  <si>
    <t xml:space="preserve">R46</t>
  </si>
  <si>
    <t xml:space="preserve">Live: extend data (new station, +chargers, new operator, segment dist)</t>
  </si>
  <si>
    <t xml:space="preserve">B1,B2,B3,H3</t>
  </si>
  <si>
    <t xml:space="preserve">R47</t>
  </si>
  <si>
    <t xml:space="preserve">Live: add a new soft/hard rule</t>
  </si>
  <si>
    <t xml:space="preserve">Issue Type</t>
  </si>
  <si>
    <t xml:space="preserve">Key</t>
  </si>
  <si>
    <t xml:space="preserve">Summary</t>
  </si>
  <si>
    <t xml:space="preserve">Epic Link</t>
  </si>
  <si>
    <t xml:space="preserve">Story Points</t>
  </si>
  <si>
    <t xml:space="preserve">Sprint</t>
  </si>
  <si>
    <t xml:space="preserve">Labels</t>
  </si>
  <si>
    <t xml:space="preserve">BCS-1</t>
  </si>
  <si>
    <t xml:space="preserve">Project setup &amp; scaffolding</t>
  </si>
  <si>
    <t xml:space="preserve">epic</t>
  </si>
  <si>
    <t xml:space="preserve">To Do</t>
  </si>
  <si>
    <t xml:space="preserve">BCS-2</t>
  </si>
  <si>
    <t xml:space="preserve">Domain data model &amp; scenario schema</t>
  </si>
  <si>
    <t xml:space="preserve">BCS-3</t>
  </si>
  <si>
    <t xml:space="preserve">Scheduling engine &amp; algorithm</t>
  </si>
  <si>
    <t xml:space="preserve">BCS-4</t>
  </si>
  <si>
    <t xml:space="preserve">Internal API / contracts</t>
  </si>
  <si>
    <t xml:space="preserve">BCS-5</t>
  </si>
  <si>
    <t xml:space="preserve">Streamlit UI</t>
  </si>
  <si>
    <t xml:space="preserve">BCS-6</t>
  </si>
  <si>
    <t xml:space="preserve">Scenario data (5 scenarios)</t>
  </si>
  <si>
    <t xml:space="preserve">BCS-7</t>
  </si>
  <si>
    <t xml:space="preserve">Testing &amp; invariants</t>
  </si>
  <si>
    <t xml:space="preserve">BCS-8</t>
  </si>
  <si>
    <t xml:space="preserve">Documentation (README + ARCHITECTURE)</t>
  </si>
  <si>
    <t xml:space="preserve">BCS-9</t>
  </si>
  <si>
    <t xml:space="preserve">Deployment &amp; submission</t>
  </si>
  <si>
    <t xml:space="preserve">Story</t>
  </si>
  <si>
    <t xml:space="preserve">BCS-101</t>
  </si>
  <si>
    <t xml:space="preserve">[A1] Initialize repo &amp; folder structure</t>
  </si>
  <si>
    <t xml:space="preserve">Day 1</t>
  </si>
  <si>
    <t xml:space="preserve">devops</t>
  </si>
  <si>
    <t xml:space="preserve">BCS-102</t>
  </si>
  <si>
    <t xml:space="preserve">[A2] Author requirements.txt</t>
  </si>
  <si>
    <t xml:space="preserve">BCS-103</t>
  </si>
  <si>
    <t xml:space="preserve">[A3] Central constants &amp; world config module</t>
  </si>
  <si>
    <t xml:space="preserve">backend</t>
  </si>
  <si>
    <t xml:space="preserve">BCS-104</t>
  </si>
  <si>
    <t xml:space="preserve">[A4] README skeleton</t>
  </si>
  <si>
    <t xml:space="preserve">docs</t>
  </si>
  <si>
    <t xml:space="preserve">BCS-105</t>
  </si>
  <si>
    <t xml:space="preserve">[A5] ARCHITECTURE skeleton</t>
  </si>
  <si>
    <t xml:space="preserve">BCS-106</t>
  </si>
  <si>
    <t xml:space="preserve">[B1] Route &amp; segment model</t>
  </si>
  <si>
    <t xml:space="preserve">data</t>
  </si>
  <si>
    <t xml:space="preserve">BCS-107</t>
  </si>
  <si>
    <t xml:space="preserve">[B2] Station model with charger count</t>
  </si>
  <si>
    <t xml:space="preserve">BCS-108</t>
  </si>
  <si>
    <t xml:space="preserve">[B3] Operator model</t>
  </si>
  <si>
    <t xml:space="preserve">BCS-109</t>
  </si>
  <si>
    <t xml:space="preserve">[B4] Bus model</t>
  </si>
  <si>
    <t xml:space="preserve">BCS-110</t>
  </si>
  <si>
    <t xml:space="preserve">[B5] Scenario file schema (THE data structure)</t>
  </si>
  <si>
    <t xml:space="preserve">BCS-111</t>
  </si>
  <si>
    <t xml:space="preserve">[B6] Weights model (open/extensible)</t>
  </si>
  <si>
    <t xml:space="preserve">BCS-112</t>
  </si>
  <si>
    <t xml:space="preserve">[B7] Output / result model</t>
  </si>
  <si>
    <t xml:space="preserve">BCS-113</t>
  </si>
  <si>
    <t xml:space="preserve">[B8] Scenario loader + validator</t>
  </si>
  <si>
    <t xml:space="preserve">BCS-114</t>
  </si>
  <si>
    <t xml:space="preserve">[C1] Travel-time &amp; distance helpers</t>
  </si>
  <si>
    <t xml:space="preserve">Day 2</t>
  </si>
  <si>
    <t xml:space="preserve">algorithm</t>
  </si>
  <si>
    <t xml:space="preserve">BCS-115</t>
  </si>
  <si>
    <t xml:space="preserve">[C2] Feasible charging-plan generator</t>
  </si>
  <si>
    <t xml:space="preserve">BCS-116</t>
  </si>
  <si>
    <t xml:space="preserve">[C3] Pluggable Rule base + registry</t>
  </si>
  <si>
    <t xml:space="preserve">BCS-117</t>
  </si>
  <si>
    <t xml:space="preserve">[C4] Implement hard rules</t>
  </si>
  <si>
    <t xml:space="preserve">BCS-118</t>
  </si>
  <si>
    <t xml:space="preserve">[C5] Implement weighted soft rules</t>
  </si>
  <si>
    <t xml:space="preserve">BCS-119</t>
  </si>
  <si>
    <t xml:space="preserve">[C6] Weighted objective aggregator</t>
  </si>
  <si>
    <t xml:space="preserve">BCS-120</t>
  </si>
  <si>
    <t xml:space="preserve">[C7] Charger arbitration (single &amp; multi-charger)</t>
  </si>
  <si>
    <t xml:space="preserve">BCS-121</t>
  </si>
  <si>
    <t xml:space="preserve">[C8] Core scheduler orchestration</t>
  </si>
  <si>
    <t xml:space="preserve">BCS-122</t>
  </si>
  <si>
    <t xml:space="preserve">[C9] Per-bus timeline computation</t>
  </si>
  <si>
    <t xml:space="preserve">BCS-123</t>
  </si>
  <si>
    <t xml:space="preserve">[C10] Per-station ordering output</t>
  </si>
  <si>
    <t xml:space="preserve">BCS-124</t>
  </si>
  <si>
    <t xml:space="preserve">[C11] Post-schedule invariant check</t>
  </si>
  <si>
    <t xml:space="preserve">BCS-125</t>
  </si>
  <si>
    <t xml:space="preserve">[D1] Loader -&gt; Engine contract</t>
  </si>
  <si>
    <t xml:space="preserve">api</t>
  </si>
  <si>
    <t xml:space="preserve">BCS-126</t>
  </si>
  <si>
    <t xml:space="preserve">[D2] Engine -&gt; UI result contract</t>
  </si>
  <si>
    <t xml:space="preserve">BCS-127</t>
  </si>
  <si>
    <t xml:space="preserve">[D3] Result caching</t>
  </si>
  <si>
    <t xml:space="preserve">BCS-128</t>
  </si>
  <si>
    <t xml:space="preserve">[E1] App entry, layout &amp; scenario dropdown</t>
  </si>
  <si>
    <t xml:space="preserve">Day 3</t>
  </si>
  <si>
    <t xml:space="preserve">frontend</t>
  </si>
  <si>
    <t xml:space="preserve">BCS-129</t>
  </si>
  <si>
    <t xml:space="preserve">[E2] Scenario input view</t>
  </si>
  <si>
    <t xml:space="preserve">BCS-130</t>
  </si>
  <si>
    <t xml:space="preserve">[E3] Per-bus timetable view</t>
  </si>
  <si>
    <t xml:space="preserve">BCS-131</t>
  </si>
  <si>
    <t xml:space="preserve">[E4] Per-station view</t>
  </si>
  <si>
    <t xml:space="preserve">BCS-132</t>
  </si>
  <si>
    <t xml:space="preserve">[E5] Live weight controls (optional but recommended)</t>
  </si>
  <si>
    <t xml:space="preserve">BCS-133</t>
  </si>
  <si>
    <t xml:space="preserve">[F1] Encode all 5 scenarios</t>
  </si>
  <si>
    <t xml:space="preserve">BCS-134</t>
  </si>
  <si>
    <t xml:space="preserve">[F2] Validate scheduled output for all 5</t>
  </si>
  <si>
    <t xml:space="preserve">BCS-135</t>
  </si>
  <si>
    <t xml:space="preserve">[G1] Physics unit tests</t>
  </si>
  <si>
    <t xml:space="preserve">Day 4</t>
  </si>
  <si>
    <t xml:space="preserve">testing</t>
  </si>
  <si>
    <t xml:space="preserve">BCS-136</t>
  </si>
  <si>
    <t xml:space="preserve">[G2] Feasibility/plan tests</t>
  </si>
  <si>
    <t xml:space="preserve">BCS-137</t>
  </si>
  <si>
    <t xml:space="preserve">[G3] Rule unit tests</t>
  </si>
  <si>
    <t xml:space="preserve">BCS-138</t>
  </si>
  <si>
    <t xml:space="preserve">[G4] Charger exclusivity invariant test</t>
  </si>
  <si>
    <t xml:space="preserve">BCS-139</t>
  </si>
  <si>
    <t xml:space="preserve">[G5] End-to-end scenario tests</t>
  </si>
  <si>
    <t xml:space="preserve">BCS-140</t>
  </si>
  <si>
    <t xml:space="preserve">[G6] Weight-sensitivity test</t>
  </si>
  <si>
    <t xml:space="preserve">BCS-141</t>
  </si>
  <si>
    <t xml:space="preserve">[H1] README full write-up</t>
  </si>
  <si>
    <t xml:space="preserve">BCS-142</t>
  </si>
  <si>
    <t xml:space="preserve">[H2] ARCHITECTURE: framework choice &amp; why</t>
  </si>
  <si>
    <t xml:space="preserve">BCS-143</t>
  </si>
  <si>
    <t xml:space="preserve">[H3] ARCHITECTURE: anticipated future changes table</t>
  </si>
  <si>
    <t xml:space="preserve">BCS-144</t>
  </si>
  <si>
    <t xml:space="preserve">[H4] ARCHITECTURE: change-a-weight example</t>
  </si>
  <si>
    <t xml:space="preserve">BCS-145</t>
  </si>
  <si>
    <t xml:space="preserve">[H5] ARCHITECTURE: add-a-rule example</t>
  </si>
  <si>
    <t xml:space="preserve">BCS-146</t>
  </si>
  <si>
    <t xml:space="preserve">[H6] ARCHITECTURE: assumptions log</t>
  </si>
  <si>
    <t xml:space="preserve">BCS-147</t>
  </si>
  <si>
    <t xml:space="preserve">[I1] Push public GitHub repo</t>
  </si>
  <si>
    <t xml:space="preserve">BCS-148</t>
  </si>
  <si>
    <t xml:space="preserve">[I2] Deploy to Streamlit Community Cloud</t>
  </si>
  <si>
    <t xml:space="preserve">BCS-149</t>
  </si>
  <si>
    <t xml:space="preserve">[I3] Hosted smoke test (all 5)</t>
  </si>
  <si>
    <t xml:space="preserve">BCS-150</t>
  </si>
  <si>
    <t xml:space="preserve">[I4] Submit the form</t>
  </si>
  <si>
    <t xml:space="preserve">pm</t>
  </si>
  <si>
    <t xml:space="preserve">Day</t>
  </si>
  <si>
    <t xml:space="preserve">Focus</t>
  </si>
  <si>
    <t xml:space="preserve">Tasks</t>
  </si>
  <si>
    <t xml:space="preserve">Deliverable</t>
  </si>
  <si>
    <t xml:space="preserve">Exit Criteria</t>
  </si>
  <si>
    <t xml:space="preserve">Data model first (the foundation)</t>
  </si>
  <si>
    <t xml:space="preserve">A1, A2, A3, B1, B2, B3, B4, B5, B6, B7, B8</t>
  </si>
  <si>
    <t xml:space="preserve">Scenario JSON schema + loader; all model objects; world config</t>
  </si>
  <si>
    <t xml:space="preserve">scenario_1.json loads into validated model objects via load_scenario()</t>
  </si>
  <si>
    <t xml:space="preserve">Engine + algorithm + rules</t>
  </si>
  <si>
    <t xml:space="preserve">C1, C2, C3, C4, C5, C6, C7, C8, C9, C10, C11, D1</t>
  </si>
  <si>
    <t xml:space="preserve">Working headless scheduler producing valid ScheduleResult</t>
  </si>
  <si>
    <t xml:space="preserve">`python -m scheduler.engine scenario_1.json` returns a valid, validated schedule</t>
  </si>
  <si>
    <t xml:space="preserve">UI + all scenarios + adapters</t>
  </si>
  <si>
    <t xml:space="preserve">D2, D3, E1, E2, E3, E4, E5, F1, F2</t>
  </si>
  <si>
    <t xml:space="preserve">Full Streamlit app; all 5 scenarios encoded &amp; sensible</t>
  </si>
  <si>
    <t xml:space="preserve">App runs locally; dropdown cycles 5 scenarios with 3 views each</t>
  </si>
  <si>
    <t xml:space="preserve">Tests, docs, deploy, submit</t>
  </si>
  <si>
    <t xml:space="preserve">G1-G6, H1-H6, I1, I2, I3, I4</t>
  </si>
  <si>
    <t xml:space="preserve">Green tests; README + ARCHITECTURE; hosted link; form submitted</t>
  </si>
  <si>
    <t xml:space="preserve">Public Streamlit URL + public repo submitted before June 2</t>
  </si>
  <si>
    <t xml:space="preserve">#</t>
  </si>
  <si>
    <t xml:space="preserve">Target File</t>
  </si>
  <si>
    <t xml:space="preserve">Component</t>
  </si>
  <si>
    <t xml:space="preserve">Copy-Paste Prompt for Claude / Cursor / Windsurf</t>
  </si>
  <si>
    <t xml:space="preserve">scheduler/config.py</t>
  </si>
  <si>
    <t xml:space="preserve">World config</t>
  </si>
  <si>
    <t xml:space="preserve">Create scheduler/config.py. Define a frozen dataclass WorldDefaults with fields speed_kmph:float=60, charge_minutes:int=25, battery_range_km:int=240. These are ONLY fallback defaults; every value can be overridden per-scenario. Do not put route, stations, operators, or weights here. Export a module-level DEFAULTS = WorldDefaults(). No other magic numbers may exist anywhere else in the project.</t>
  </si>
  <si>
    <t xml:space="preserve">scheduler/model.py</t>
  </si>
  <si>
    <t xml:space="preserve">Domain model</t>
  </si>
  <si>
    <t xml:space="preserve">Create scheduler/model.py with dataclasses: Segment(from_node:str,to_node:str,distance_km:float); Route(nodes:list[str], segments:list[Segment]) with methods distance_between(a,b) and cumulative_distance(node) and downstream_stations(origin, station_nodes) honoring route order for either direction (no backtracking); Station(node:str, num_chargers:int=1); Bus(id:str, operator:str, origin:str, destination:str, departure_min:int, range_km:float|None=None, priority:int=0) with a derived direction property; Weights as a dict-backed class merging defaults (individual/operator/overall=1.0) with an open dict so unknown keys are allowed; Scenario(name, world:WorldDefaults, route:Route, stations:dict[str,Station], weights, buses:list[Bus]). Keep it pure-Python, no Streamlit import.</t>
  </si>
  <si>
    <t xml:space="preserve">scheduler/loader.py</t>
  </si>
  <si>
    <t xml:space="preserve">Scenario loader</t>
  </si>
  <si>
    <t xml:space="preserve">Create scheduler/loader.py. load_scenario(path)-&gt;Scenario reads JSON of shape {name, world:{speed_kmph,charge_minutes,battery_range_km}, route:{nodes:[...], segments:[{from,to,distance_km}...]}, stations:{NODE:{num_chargers}}, weights:{individual,operator,overall, ...}, buses:[{id,operator,origin,destination,departure_min,range_km?,priority?}]}. Merge world with config.DEFAULTS for missing keys; default per-bus range_km to battery_range_km. Validate: positive distances, connected route, station nodes are intermediate route nodes, non-empty operators, departure_min&gt;=0. Raise ValueError with a clear message on any failure. Also list_scenarios(dir)-&gt;list[(name,path)] for the dropdown.</t>
  </si>
  <si>
    <t xml:space="preserve">scheduler/physics.py</t>
  </si>
  <si>
    <t xml:space="preserve">Physics helpers</t>
  </si>
  <si>
    <t xml:space="preserve">Create scheduler/physics.py with pure functions: travel_minutes(distance_km, speed_kmph)-&gt;float; node_sequence(bus, route)-&gt;list[str] the ordered nodes the bus passes (respecting direction, no backtracking); base_arrival_minutes(bus, route, speed)-&gt;dict[node-&gt;float] the clock-minute the bus would reach each node with zero charging/waiting. Add the charge_minutes offset logic later in the engine, keep these wait-free. Fully unit-testable, no side effects.</t>
  </si>
  <si>
    <t xml:space="preserve">scheduler/plans.py</t>
  </si>
  <si>
    <t xml:space="preserve">Feasible plan generator</t>
  </si>
  <si>
    <t xml:space="preserve">Create scheduler/plans.py: candidate_plans(bus, route, station_nodes, range_km)-&gt;list[list[str]]. Enumerate ordered subsets of the bus's downstream station nodes (route order, no backtracking) such that every leg — origin-&gt;first charge, charge-&gt;next charge, last charge-&gt;destination — is &lt;= range_km. Return every feasible plan (the engine will choose among them). If none feasible, return [] (caller handles).</t>
  </si>
  <si>
    <t xml:space="preserve">scheduler/rules/base.py</t>
  </si>
  <si>
    <t xml:space="preserve">Rule framework</t>
  </si>
  <si>
    <t xml:space="preserve">Create scheduler/rules/base.py. Define abstract Rule with attributes name:str and kind:Literal['hard','soft'] and method evaluate(ctx)-&gt;float where ctx is a ScheduleContext exposing the candidate schedule, scenario, and weights. Hard rules return 0.0 if satisfied else math.inf. Soft rules return a non-negative penalty already multiplied by their weight = ctx.weights[self.weight_key]. Define a RuleRegistry that collects Rule instances; add register() decorator and discover() that imports all modules in scheduler/rules/ so dropping a new rule file auto-registers it. The engine must never reference concrete rule classes by name.</t>
  </si>
  <si>
    <t xml:space="preserve">scheduler/rules/hard_rules.py</t>
  </si>
  <si>
    <t xml:space="preserve">Hard rules</t>
  </si>
  <si>
    <t xml:space="preserve">Create scheduler/rules/hard_rules.py with Rule subclasses (kind='hard'), each @register: RangeRule (no leg in any bus plan exceeds bus.range_km); ChargerExclusivityRule (at every station, count of buses whose [start,end] charge intervals overlap never exceeds station.num_chargers); ChargeDurationRule (every charge interval length == world.charge_minutes); RouteOrderRule (each bus's charge stations appear in route order, no repeats/backtrack). Return math.inf on violation else 0.0. No engine edits required to add these.</t>
  </si>
  <si>
    <t xml:space="preserve">scheduler/rules/soft_rules.py</t>
  </si>
  <si>
    <t xml:space="preserve">Soft rules</t>
  </si>
  <si>
    <t xml:space="preserve">Create scheduler/rules/soft_rules.py with Rule subclasses (kind='soft'), each @register and each with a weight_key: IndividualWaitRule(weight_key='individual') -&gt; sum (or max) of per-bus total wait/lateness; OperatorRule(weight_key='operator') -&gt; sum over operators of intra-fleet wait variance or total fleet wait (define and document the metric); OverallRule(weight_key='overall') -&gt; network makespan or total travel+wait time. Each returns penalty * ctx.weights[weight_key]. Keep metrics simple, monotonic, and documented in a docstring.</t>
  </si>
  <si>
    <t xml:space="preserve">scheduler/objective.py</t>
  </si>
  <si>
    <t xml:space="preserve">Objective aggregator</t>
  </si>
  <si>
    <t xml:space="preserve">Create scheduler/objective.py: score(schedule, scenario, registry)-&gt;(feasible:bool, total:float, breakdown:dict). Evaluate all hard rules; if any returns inf -&gt; feasible False. Sum soft-rule penalties into total and record each rule's contribution in breakdown for transparency. Return the tuple.</t>
  </si>
  <si>
    <t xml:space="preserve">scheduler/resources.py</t>
  </si>
  <si>
    <t xml:space="preserve">Charger arbitration</t>
  </si>
  <si>
    <t xml:space="preserve">Create scheduler/resources.py: a ChargerPool(num_chargers, charge_minutes) maintaining busy intervals per charger. reserve(requested_start)-&gt;(actual_start, charger_index, wait) assigns the earliest charger free at or after requested_start; if all busy, queue behind the earliest-finishing one. Must generalize over num_chargers so 1 vs N differs only by the constructor arg. Provide a per-station pool keyed by node.</t>
  </si>
  <si>
    <t xml:space="preserve">scheduler/engine.py</t>
  </si>
  <si>
    <t xml:space="preserve">Core scheduler</t>
  </si>
  <si>
    <t xml:space="preserve">Create scheduler/engine.py: schedule(scenario)-&gt;ScheduleResult using a deterministic event-driven greedy strategy behind a Strategy interface (class GreedyStrategy; allow future CpSatStrategy). Process buses in order of (priority desc, departure asc, id). For each bus, evaluate its candidate_plans; for each plan simulate charger reservations via ChargerPool and compute the incremental weighted objective using the rule registry; commit the plan+reservations with the lowest feasible cost. Build BusPlan timelines and station_order. Return ScheduleResult(bus_plans, station_order, objective_breakdown). Keep deterministic. Expose a __main__ that loads a scenario path argv and prints the result. No Streamlit import.</t>
  </si>
  <si>
    <t xml:space="preserve">scheduler/validate.py</t>
  </si>
  <si>
    <t xml:space="preserve">Invariant checker</t>
  </si>
  <si>
    <t xml:space="preserve">Create scheduler/validate.py: validate(result, scenario)-&gt;list[Violation]. Re-run all hard rules over the FINAL committed schedule and collect any violations as Violation(rule, bus_id_or_station, detail). Used both in tests and at app startup as a defensive guard. Must return [] for a correct schedule.</t>
  </si>
  <si>
    <t xml:space="preserve">scheduler/adapters.py</t>
  </si>
  <si>
    <t xml:space="preserve">UI adapters</t>
  </si>
  <si>
    <t xml:space="preserve">Create scheduler/adapters.py: to_input_table(scenario)-&gt;DataFrame (bus rows with HH:MM departure + summary of world/route/stations/weights); to_bus_table(result, scenario)-&gt;DataFrame (one row per bus: stations used, per-stop arrive/start/wait/end HH:MM, charge count, final arrival HH:MM); to_station_table(result, node)-&gt;DataFrame (ordered buses at a node: bus, operator, charger idx, start, wait, end). Add a minutes_to_hhmm helper. Engine returns minutes; formatting lives only here.</t>
  </si>
  <si>
    <t xml:space="preserve">app.py</t>
  </si>
  <si>
    <t xml:space="preserve">Streamlit app</t>
  </si>
  <si>
    <t xml:space="preserve">Create app.py. st.set_page_config(title='Bus Charging Scheduler', layout='wide'). At the very top render st.selectbox of list_scenarios() so the dropdown is the first thing visible. On selection, load_scenario + schedule (wrapped in st.cache_data keyed by name+weights). Sidebar sliders for individual/operator/overall weights default to scenario weights with a 'reset to defaults' button; changing them re-runs. Then three sections via st.tabs: 'Input' (to_input_table + raw JSON expander), 'Per-bus timetable' (to_bus_table, highlight non-zero waits, show charge count), 'Per-station' (a to_station_table per node A,B,C,D). At startup run validate() and st.error any violation. No maps/animations/metric dashboards.</t>
  </si>
  <si>
    <t xml:space="preserve">data/scenarios/*.json</t>
  </si>
  <si>
    <t xml:space="preserve">Scenario files</t>
  </si>
  <si>
    <t xml:space="preserve">Create data/scenarios/scenario_1.json..scenario_5.json matching the PDF exactly. Shared: route nodes [Bengaluru,A,B,C,D,Kochi] with segment distances 100,120,100,120,100; world speed_kmph 60, charge_minutes 25, battery_range_km 240; stations A,B,C,D each num_chargers 1; departure_min as minutes-from-midnight (19:00=1140). S1: 10 BK + 10 KB every 15 min from 1140, weights 1/1/1. S2: bunched every 8 min first 50 min then spaced, per PDF. S3: 10 BK (15 min) + only 4 KB at 1140/1175/1210/1245. S4: KPN 8 of 10 BK, weights individual 1.0 operator 2.0 overall 1.0. S5: all 20 every 8 min both ends from 1140. Use exact operators/directions/times from the PDF tables.</t>
  </si>
  <si>
    <t xml:space="preserve">tests/</t>
  </si>
  <si>
    <t xml:space="preserve">Test suite</t>
  </si>
  <si>
    <t xml:space="preserve">Create pytest suite under tests/: test_physics.py, test_plans.py (no leg&gt;240, BK&gt;=2 charges, route order, KB reversed), test_rules.py (each rule positive+negative), test_charger.py (concurrency never exceeds num_chargers; multi-charger allows overlap), test_e2e.py (all 5 scenarios: validate()==[] and every BK bus &gt;=2 charges and all arrive), test_weights.py (Scenario 4 operator weight 1.0 vs 2.0 produces different station_order/objective). Use the public loader+engine API only.</t>
  </si>
  <si>
    <t xml:space="preserve">README.md</t>
  </si>
  <si>
    <t xml:space="preserve">README</t>
  </si>
  <si>
    <t xml:space="preserve">Write README.md: overview, live Streamlit link placeholder, quickstart (python -m venv, pip install -r requirements.txt, streamlit run app.py), project layout tree, 'Change a weight' (edit weights in the scenario JSON or drag the sidebar slider — one value), 'Add a rule' (drop a Rule subclass in scheduler/rules/, add a weight key — show a 10-line example), scenario descriptions, link to ARCHITECTURE and assumptions.</t>
  </si>
  <si>
    <t xml:space="preserve">ARCHITECTURE.md</t>
  </si>
  <si>
    <t xml:space="preserve">ARCHITECTURE</t>
  </si>
  <si>
    <t xml:space="preserve">Write ARCHITECTURE.md covering: (1) Framework choice — event-driven greedy + pluggable weighted rule registry, Strategy-swappable to CP-SAT — and why it fits (small instances, easy rule addition, trivial weight tuning, deterministic explainable output, no heavy solver dep) with trade-offs vs ILP/CP-SAT. (2) Data structure design — annotated scenario JSON schema and the model+result objects. (3) Anticipated future changes table (add station, change segment distance, multi/variable chargers, swap/add operator, +buses, new/multiple routes sharing stations, priority buses, time-of-day electricity cost, driver shifts, partial/variable charge time, variable speed/traffic, per-bus range, new soft/hard rule, new weighted term, large fleets) each mapped to the exact field/file that changes with NO engine rewrite. (4) Change a weight — concrete code/JSON diff. (5) Add a rule — full ~10-line example. (6) Assumptions log. Be honest about what is and isn't done.</t>
  </si>
  <si>
    <t xml:space="preserve">Design Item</t>
  </si>
  <si>
    <t xml:space="preserve">Why it matters</t>
  </si>
  <si>
    <t xml:space="preserve">Engine has ZERO Streamlit imports</t>
  </si>
  <si>
    <t xml:space="preserve">Engine reusable headless / future REST / tests</t>
  </si>
  <si>
    <t xml:space="preserve">All physical constants live only in config.py</t>
  </si>
  <si>
    <t xml:space="preserve">No-hardcode mandate; one obvious place</t>
  </si>
  <si>
    <t xml:space="preserve">Weights read by key from scenario, never constants</t>
  </si>
  <si>
    <t xml:space="preserve">Weight tunability is the graded criterion</t>
  </si>
  <si>
    <t xml:space="preserve">Route is data-driven (nodes + segment distances)</t>
  </si>
  <si>
    <t xml:space="preserve">'change a segment distance' must be data-only</t>
  </si>
  <si>
    <t xml:space="preserve">Station carries num_chargers field (today=1)</t>
  </si>
  <si>
    <t xml:space="preserve">'double the chargers' must be data-only</t>
  </si>
  <si>
    <t xml:space="preserve">Direction derived from origin/destination, not a 2-value enum</t>
  </si>
  <si>
    <t xml:space="preserve">Multiple routes / new endpoints later</t>
  </si>
  <si>
    <t xml:space="preserve">Operators derived from data, not hardcoded list</t>
  </si>
  <si>
    <t xml:space="preserve">'swap in a new operator' data-only</t>
  </si>
  <si>
    <t xml:space="preserve">Bus has priority &amp; per-bus range_km fields (unused today)</t>
  </si>
  <si>
    <t xml:space="preserve">priority buses &amp; variable range anticipated</t>
  </si>
  <si>
    <t xml:space="preserve">Rules are auto-discovered from rules/ directory</t>
  </si>
  <si>
    <t xml:space="preserve">Add a rule without engine edit (graded live)</t>
  </si>
  <si>
    <t xml:space="preserve">Hard vs soft rule distinction is explicit (kind field)</t>
  </si>
  <si>
    <t xml:space="preserve">Clean extensibility; feasibility vs penalty</t>
  </si>
  <si>
    <t xml:space="preserve">Objective returns a per-term breakdown</t>
  </si>
  <si>
    <t xml:space="preserve">Explainability + defend schedules in interview</t>
  </si>
  <si>
    <t xml:space="preserve">Search strategy behind a Strategy interface</t>
  </si>
  <si>
    <t xml:space="preserve">Swap greedy -&gt; CP-SAT without touching rules/data</t>
  </si>
  <si>
    <t xml:space="preserve">Charger pool generalizes over num_chargers</t>
  </si>
  <si>
    <t xml:space="preserve">1 vs N chargers is constructor-only</t>
  </si>
  <si>
    <t xml:space="preserve">Post-schedule validate() asserts hard rules</t>
  </si>
  <si>
    <t xml:space="preserve">Correctness guard; never silently break 240 km</t>
  </si>
  <si>
    <t xml:space="preserve">Scenario file fully self-describes the world</t>
  </si>
  <si>
    <t xml:space="preserve">'a scenario IS your data structure'</t>
  </si>
  <si>
    <t xml:space="preserve">Result model carries everything the UI needs</t>
  </si>
  <si>
    <t xml:space="preserve">Clean engine&lt;-&gt;UI contract</t>
  </si>
  <si>
    <t xml:space="preserve">Deterministic output (stable tie-breaks)</t>
  </si>
  <si>
    <t xml:space="preserve">Reproducible demos &amp; tests</t>
  </si>
  <si>
    <t xml:space="preserve">st.cache_data on load+schedule</t>
  </si>
  <si>
    <t xml:space="preserve">Smooth UX, scales to bigger inputs</t>
  </si>
  <si>
    <t xml:space="preserve">Entity</t>
  </si>
  <si>
    <t xml:space="preserve">Field</t>
  </si>
  <si>
    <t xml:space="preserve">Type</t>
  </si>
  <si>
    <t xml:space="preserve">Required</t>
  </si>
  <si>
    <t xml:space="preserve">Notes / Foresight</t>
  </si>
  <si>
    <t xml:space="preserve">Scenario</t>
  </si>
  <si>
    <t xml:space="preserve">name</t>
  </si>
  <si>
    <t xml:space="preserve">string</t>
  </si>
  <si>
    <t xml:space="preserve">yes</t>
  </si>
  <si>
    <t xml:space="preserve">Human label shown in dropdown</t>
  </si>
  <si>
    <t xml:space="preserve">world</t>
  </si>
  <si>
    <t xml:space="preserve">object</t>
  </si>
  <si>
    <t xml:space="preserve">Overrides config defaults per-scenario</t>
  </si>
  <si>
    <t xml:space="preserve">route</t>
  </si>
  <si>
    <t xml:space="preserve">nodes + segments; fully data-driven</t>
  </si>
  <si>
    <t xml:space="preserve">stations</t>
  </si>
  <si>
    <t xml:space="preserve">map node -&gt; {num_chargers}</t>
  </si>
  <si>
    <t xml:space="preserve">weights</t>
  </si>
  <si>
    <t xml:space="preserve">individual/operator/overall + open keys</t>
  </si>
  <si>
    <t xml:space="preserve">buses</t>
  </si>
  <si>
    <t xml:space="preserve">array</t>
  </si>
  <si>
    <t xml:space="preserve">list of Bus objects</t>
  </si>
  <si>
    <t xml:space="preserve">speed_kmph</t>
  </si>
  <si>
    <t xml:space="preserve">number</t>
  </si>
  <si>
    <t xml:space="preserve">no (default 60)</t>
  </si>
  <si>
    <t xml:space="preserve">Consistent sim speed</t>
  </si>
  <si>
    <t xml:space="preserve">charge_minutes</t>
  </si>
  <si>
    <t xml:space="preserve">no (default 25)</t>
  </si>
  <si>
    <t xml:space="preserve">Fixed full-charge time</t>
  </si>
  <si>
    <t xml:space="preserve">battery_range_km</t>
  </si>
  <si>
    <t xml:space="preserve">no (default 240)</t>
  </si>
  <si>
    <t xml:space="preserve">Default per-bus range</t>
  </si>
  <si>
    <t xml:space="preserve">nodes</t>
  </si>
  <si>
    <t xml:space="preserve">array&lt;string&gt;</t>
  </si>
  <si>
    <t xml:space="preserve">Ordered incl. endpoints, e.g. [Bengaluru,A,B,C,D,Kochi]</t>
  </si>
  <si>
    <t xml:space="preserve">segments</t>
  </si>
  <si>
    <t xml:space="preserve">array&lt;obj&gt;</t>
  </si>
  <si>
    <t xml:space="preserve">{from,to,distance_km}; sums to 540 today</t>
  </si>
  <si>
    <t xml:space="preserve">station</t>
  </si>
  <si>
    <t xml:space="preserve">node</t>
  </si>
  <si>
    <t xml:space="preserve">Must be an intermediate route node</t>
  </si>
  <si>
    <t xml:space="preserve">num_chargers</t>
  </si>
  <si>
    <t xml:space="preserve">int</t>
  </si>
  <si>
    <t xml:space="preserve">no (default 1)</t>
  </si>
  <si>
    <t xml:space="preserve">Make 'double chargers' data-only</t>
  </si>
  <si>
    <t xml:space="preserve">individual</t>
  </si>
  <si>
    <t xml:space="preserve">float</t>
  </si>
  <si>
    <t xml:space="preserve">no (default 1.0)</t>
  </si>
  <si>
    <t xml:space="preserve">Per-bus wait penalty weight</t>
  </si>
  <si>
    <t xml:space="preserve">operator</t>
  </si>
  <si>
    <t xml:space="preserve">Operator-fairness weight (S4=2.0)</t>
  </si>
  <si>
    <t xml:space="preserve">overall</t>
  </si>
  <si>
    <t xml:space="preserve">Network-time weight</t>
  </si>
  <si>
    <t xml:space="preserve">&lt;future keys&gt;</t>
  </si>
  <si>
    <t xml:space="preserve">no</t>
  </si>
  <si>
    <t xml:space="preserve">e.g. electricity_cost, driver_shift — open dict</t>
  </si>
  <si>
    <t xml:space="preserve">bus</t>
  </si>
  <si>
    <t xml:space="preserve">id</t>
  </si>
  <si>
    <t xml:space="preserve">e.g. bus-BK-01</t>
  </si>
  <si>
    <t xml:space="preserve">kpn/freshbus/flixbus (data-driven)</t>
  </si>
  <si>
    <t xml:space="preserve">origin</t>
  </si>
  <si>
    <t xml:space="preserve">Bengaluru or Kochi (or future endpoints)</t>
  </si>
  <si>
    <t xml:space="preserve">destination</t>
  </si>
  <si>
    <t xml:space="preserve">Defines direction via route</t>
  </si>
  <si>
    <t xml:space="preserve">departure_min</t>
  </si>
  <si>
    <t xml:space="preserve">Minutes from midnight (19:00=1140)</t>
  </si>
  <si>
    <t xml:space="preserve">range_km</t>
  </si>
  <si>
    <t xml:space="preserve">no (default world range)</t>
  </si>
  <si>
    <t xml:space="preserve">Per-bus override for variable fleets</t>
  </si>
  <si>
    <t xml:space="preserve">priority</t>
  </si>
  <si>
    <t xml:space="preserve">no (default 0)</t>
  </si>
  <si>
    <t xml:space="preserve">Reserved for priority-bus rule</t>
  </si>
  <si>
    <t xml:space="preserve">ChargeEvent (output)</t>
  </si>
  <si>
    <t xml:space="preserve">Node where charge happens</t>
  </si>
  <si>
    <t xml:space="preserve">arrive_min/start_min/wait_min/end_min</t>
  </si>
  <si>
    <t xml:space="preserve">Full per-stop timing</t>
  </si>
  <si>
    <t xml:space="preserve">charger_index</t>
  </si>
  <si>
    <t xml:space="preserve">Which charger (for multi-charger)</t>
  </si>
  <si>
    <t xml:space="preserve">BusPlan (output)</t>
  </si>
  <si>
    <t xml:space="preserve">bus_id/charge_events/arrival_min/total_wait</t>
  </si>
  <si>
    <t xml:space="preserve">mixed</t>
  </si>
  <si>
    <t xml:space="preserve">Per-bus timetable source</t>
  </si>
  <si>
    <t xml:space="preserve">ScheduleResult (output)</t>
  </si>
  <si>
    <t xml:space="preserve">bus_plans/station_order/objective_breakdown</t>
  </si>
  <si>
    <t xml:space="preserve">Drives both UI views + transparency</t>
  </si>
  <si>
    <t xml:space="preserve">Step</t>
  </si>
  <si>
    <t xml:space="preserve">Description</t>
  </si>
  <si>
    <t xml:space="preserve">Inputs</t>
  </si>
  <si>
    <t xml:space="preserve">Outputs</t>
  </si>
  <si>
    <t xml:space="preserve">Complexity Note</t>
  </si>
  <si>
    <t xml:space="preserve">1. Parse &amp; validate</t>
  </si>
  <si>
    <t xml:space="preserve">Load scenario JSON into model objects; merge world defaults; validate route/range/stations</t>
  </si>
  <si>
    <t xml:space="preserve">scenario file</t>
  </si>
  <si>
    <t xml:space="preserve">validated Scenario</t>
  </si>
  <si>
    <t xml:space="preserve">O(buses+segments)</t>
  </si>
  <si>
    <t xml:space="preserve">2. Compute base arrivals</t>
  </si>
  <si>
    <t xml:space="preserve">For each bus, wait-free arrival minute at every node it passes (direction-aware)</t>
  </si>
  <si>
    <t xml:space="preserve">Scenario, speed</t>
  </si>
  <si>
    <t xml:space="preserve">dict bus-&gt;node-&gt;minute</t>
  </si>
  <si>
    <t xml:space="preserve">O(buses*nodes)</t>
  </si>
  <si>
    <t xml:space="preserve">3. Enumerate feasible plans</t>
  </si>
  <si>
    <t xml:space="preserve">Per bus, all ordered station subsets with every leg &lt;= range_km, route order only</t>
  </si>
  <si>
    <t xml:space="preserve">route, range, stations</t>
  </si>
  <si>
    <t xml:space="preserve">candidate plans per bus</t>
  </si>
  <si>
    <t xml:space="preserve">O(buses*2^stations) — fine for small station counts; prune by range</t>
  </si>
  <si>
    <t xml:space="preserve">4. Order buses</t>
  </si>
  <si>
    <t xml:space="preserve">Sort by (priority desc, departure asc, id) for deterministic greedy commitment</t>
  </si>
  <si>
    <t xml:space="preserve">processing order</t>
  </si>
  <si>
    <t xml:space="preserve">O(buses log buses)</t>
  </si>
  <si>
    <t xml:space="preserve">5. Greedy commit</t>
  </si>
  <si>
    <t xml:space="preserve">For each bus, for each candidate plan, simulate charger reservations &amp; compute incremental weighted objective; commit cheapest feasible plan</t>
  </si>
  <si>
    <t xml:space="preserve">plans, ChargerPool, rules, weights</t>
  </si>
  <si>
    <t xml:space="preserve">committed reservations</t>
  </si>
  <si>
    <t xml:space="preserve">O(buses*plans*stations)</t>
  </si>
  <si>
    <t xml:space="preserve">6. Charger reservation</t>
  </si>
  <si>
    <t xml:space="preserve">Earliest free charger &gt;= requested arrival; else queue behind earliest finisher; compute wait; generalizes to num_chargers</t>
  </si>
  <si>
    <t xml:space="preserve">ChargerPool state</t>
  </si>
  <si>
    <t xml:space="preserve">actual_start, wait, charger idx</t>
  </si>
  <si>
    <t xml:space="preserve">O(num_chargers) per reserve</t>
  </si>
  <si>
    <t xml:space="preserve">7. Build timelines</t>
  </si>
  <si>
    <t xml:space="preserve">Assemble BusPlan per bus: arrive/start/wait/end per stop + final arrival</t>
  </si>
  <si>
    <t xml:space="preserve">bus_plans</t>
  </si>
  <si>
    <t xml:space="preserve">O(buses*stations)</t>
  </si>
  <si>
    <t xml:space="preserve">8. Build station order</t>
  </si>
  <si>
    <t xml:space="preserve">Per node, sort charging buses by actual start (+charger idx)</t>
  </si>
  <si>
    <t xml:space="preserve">reservations</t>
  </si>
  <si>
    <t xml:space="preserve">station_order</t>
  </si>
  <si>
    <t xml:space="preserve">O(charges log charges)</t>
  </si>
  <si>
    <t xml:space="preserve">9. Validate invariants</t>
  </si>
  <si>
    <t xml:space="preserve">Re-run all hard rules on final schedule; assert none violated</t>
  </si>
  <si>
    <t xml:space="preserve">ScheduleResult</t>
  </si>
  <si>
    <t xml:space="preserve">[] or violations</t>
  </si>
  <si>
    <t xml:space="preserve">10. Adapt for UI</t>
  </si>
  <si>
    <t xml:space="preserve">Convert result to DataFrames with HH:MM formatting</t>
  </si>
  <si>
    <t xml:space="preserve">DataFrames</t>
  </si>
  <si>
    <t xml:space="preserve">O(rows)</t>
  </si>
  <si>
    <t xml:space="preserve">(swap path)</t>
  </si>
  <si>
    <t xml:space="preserve">Replace GreedyStrategy with CpSatStrategy implementing same interface for true optimization at larger scale</t>
  </si>
  <si>
    <t xml:space="preserve">same scenario</t>
  </si>
  <si>
    <t xml:space="preserve">optimal-ish ScheduleResult</t>
  </si>
  <si>
    <t xml:space="preserve">solver-dependent — rules &amp; data unchanged</t>
  </si>
  <si>
    <t xml:space="preserve">Action</t>
  </si>
  <si>
    <t xml:space="preserve">1</t>
  </si>
  <si>
    <t xml:space="preserve">Create PUBLIC GitHub repo and push all code</t>
  </si>
  <si>
    <t xml:space="preserve">2</t>
  </si>
  <si>
    <t xml:space="preserve">Confirm data/scenarios has all 5 JSON files</t>
  </si>
  <si>
    <t xml:space="preserve">3</t>
  </si>
  <si>
    <t xml:space="preserve">Confirm README.md and ARCHITECTURE.md committed</t>
  </si>
  <si>
    <t xml:space="preserve">4</t>
  </si>
  <si>
    <t xml:space="preserve">Confirm requirements.txt lists streamlit + pandas (+ortools if used)</t>
  </si>
  <si>
    <t xml:space="preserve">5</t>
  </si>
  <si>
    <t xml:space="preserve">Verify no secrets / .streamlit/secrets committed</t>
  </si>
  <si>
    <t xml:space="preserve">6</t>
  </si>
  <si>
    <t xml:space="preserve">Sign in to share.streamlit.io with GitHub</t>
  </si>
  <si>
    <t xml:space="preserve">7</t>
  </si>
  <si>
    <t xml:space="preserve">New app -&gt; select repo, branch main, main file app.py</t>
  </si>
  <si>
    <t xml:space="preserve">8</t>
  </si>
  <si>
    <t xml:space="preserve">Deploy; watch build log install requirements.txt</t>
  </si>
  <si>
    <t xml:space="preserve">9</t>
  </si>
  <si>
    <t xml:space="preserve">Open hosted URL; confirm dropdown shows on load</t>
  </si>
  <si>
    <t xml:space="preserve">10</t>
  </si>
  <si>
    <t xml:space="preserve">Cycle all 5 scenarios; check 3 views each render</t>
  </si>
  <si>
    <t xml:space="preserve">11</t>
  </si>
  <si>
    <t xml:space="preserve">Test in incognito (anonymous public access works)</t>
  </si>
  <si>
    <t xml:space="preserve">12</t>
  </si>
  <si>
    <t xml:space="preserve">Run pytest locally; all green</t>
  </si>
  <si>
    <t xml:space="preserve">13</t>
  </si>
  <si>
    <t xml:space="preserve">Final commit; confirm repo still public</t>
  </si>
  <si>
    <t xml:space="preserve">14</t>
  </si>
  <si>
    <t xml:space="preserve">Submit Google Form: hosted URL + repo URL + approach + notes</t>
  </si>
  <si>
    <t xml:space="preserve">15</t>
  </si>
  <si>
    <t xml:space="preserve">Re-submit form if anything changes (latest wins) before June 2</t>
  </si>
  <si>
    <t xml:space="preserve">Topic</t>
  </si>
  <si>
    <t xml:space="preserve">Assumption</t>
  </si>
  <si>
    <t xml:space="preserve">Justification</t>
  </si>
  <si>
    <t xml:space="preserve">Speed</t>
  </si>
  <si>
    <t xml:space="preserve">Constant 60 km/h all buses, all segments — no traffic/variation</t>
  </si>
  <si>
    <t xml:space="preserve">Spec example; tunable in world config</t>
  </si>
  <si>
    <t xml:space="preserve">Charging</t>
  </si>
  <si>
    <t xml:space="preserve">Always to full, exactly 25 min, no partial charging</t>
  </si>
  <si>
    <t xml:space="preserve">Spec hard rule</t>
  </si>
  <si>
    <t xml:space="preserve">Endpoints</t>
  </si>
  <si>
    <t xml:space="preserve">Buses leave full and do not charge at Bengaluru/Kochi</t>
  </si>
  <si>
    <t xml:space="preserve">Spec: endpoints not scheduled</t>
  </si>
  <si>
    <t xml:space="preserve">Departure encoding</t>
  </si>
  <si>
    <t xml:space="preserve">departure_min = minutes from midnight (19:00=1140)</t>
  </si>
  <si>
    <t xml:space="preserve">Clean integer math; HH:MM only in UI</t>
  </si>
  <si>
    <t xml:space="preserve">Tie-breaking</t>
  </si>
  <si>
    <t xml:space="preserve">priority desc -&gt; departure asc -&gt; bus id</t>
  </si>
  <si>
    <t xml:space="preserve">Deterministic, reproducible demos</t>
  </si>
  <si>
    <t xml:space="preserve">Plan choice</t>
  </si>
  <si>
    <t xml:space="preserve">Bus may use MORE than the minimum charges if cheaper overall</t>
  </si>
  <si>
    <t xml:space="preserve">Spec allows '2 or more'</t>
  </si>
  <si>
    <t xml:space="preserve">Individual metric</t>
  </si>
  <si>
    <t xml:space="preserve">Per-bus total wait (sum of charger waits)</t>
  </si>
  <si>
    <t xml:space="preserve">Definition documented; tunable</t>
  </si>
  <si>
    <t xml:space="preserve">Operator metric</t>
  </si>
  <si>
    <t xml:space="preserve">Total/variance of wait within each operator fleet</t>
  </si>
  <si>
    <t xml:space="preserve">Overall metric</t>
  </si>
  <si>
    <t xml:space="preserve">Network makespan or total time across all buses</t>
  </si>
  <si>
    <t xml:space="preserve">Infeasibility</t>
  </si>
  <si>
    <t xml:space="preserve">If a bus has no feasible plan, surface a clear error</t>
  </si>
  <si>
    <t xml:space="preserve">Shouldn't occur with given data</t>
  </si>
  <si>
    <t xml:space="preserve">Re-planning</t>
  </si>
  <si>
    <t xml:space="preserve">Decided once up front; no mid-trip re-optimization</t>
  </si>
  <si>
    <t xml:space="preserve">Static schedule per spec</t>
  </si>
  <si>
    <t xml:space="preserve">State</t>
  </si>
  <si>
    <t xml:space="preserve">In-memory only; no DB/auth</t>
  </si>
  <si>
    <t xml:space="preserve">Spec: in-memory fine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</si>
</sst>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2E5C8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sz val="12"/>
      <color rgb="FF2E5C8A"/>
      <name val="Consolas"/>
      <family val="0"/>
      <charset val="1"/>
    </font>
    <font>
      <sz val="10"/>
      <color rgb="FF2E5C8A"/>
      <name val="Consolas"/>
      <family val="0"/>
      <charset val="1"/>
    </font>
    <font>
      <sz val="10"/>
      <color rgb="FF006100"/>
      <name val="Arial"/>
      <family val="0"/>
      <charset val="1"/>
    </font>
    <font>
      <b val="true"/>
      <sz val="14"/>
      <color rgb="FF0061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9"/>
      <name val="Consolas"/>
      <family val="0"/>
      <charset val="1"/>
    </font>
    <font>
      <b val="true"/>
      <sz val="10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A5F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F2CC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strike val="1"/>
        <color rgb="FF006100"/>
        <sz val="10"/>
      </font>
      <fill>
        <patternFill>
          <bgColor rgb="FFC6EFCE"/>
        </patternFill>
      </fill>
    </dxf>
    <dxf>
      <fill>
        <patternFill patternType="solid">
          <fgColor rgb="FFDCE6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2F2F2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42" hidden="false" customHeight="true" outlineLevel="0" collapsed="false">
      <c r="A5" s="4" t="s">
        <v>3</v>
      </c>
      <c r="B5" s="5" t="s">
        <v>4</v>
      </c>
    </row>
    <row r="6" customFormat="false" ht="42" hidden="false" customHeight="true" outlineLevel="0" collapsed="false">
      <c r="A6" s="6" t="s">
        <v>5</v>
      </c>
      <c r="B6" s="7" t="s">
        <v>6</v>
      </c>
    </row>
    <row r="7" customFormat="false" ht="42" hidden="false" customHeight="true" outlineLevel="0" collapsed="false">
      <c r="A7" s="4" t="s">
        <v>7</v>
      </c>
      <c r="B7" s="5" t="s">
        <v>8</v>
      </c>
    </row>
    <row r="8" customFormat="false" ht="42" hidden="false" customHeight="true" outlineLevel="0" collapsed="false">
      <c r="A8" s="6" t="s">
        <v>9</v>
      </c>
      <c r="B8" s="7" t="s">
        <v>10</v>
      </c>
    </row>
    <row r="9" customFormat="false" ht="42" hidden="false" customHeight="true" outlineLevel="0" collapsed="false">
      <c r="A9" s="4" t="s">
        <v>11</v>
      </c>
      <c r="B9" s="5" t="s">
        <v>12</v>
      </c>
    </row>
    <row r="11" customFormat="false" ht="16.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8" t="s">
        <v>14</v>
      </c>
      <c r="B12" s="8" t="s">
        <v>15</v>
      </c>
    </row>
    <row r="13" customFormat="false" ht="15" hidden="false" customHeight="false" outlineLevel="0" collapsed="false">
      <c r="A13" s="9" t="s">
        <v>16</v>
      </c>
      <c r="B13" s="9" t="s">
        <v>17</v>
      </c>
    </row>
    <row r="14" customFormat="false" ht="15" hidden="false" customHeight="false" outlineLevel="0" collapsed="false">
      <c r="A14" s="10" t="s">
        <v>18</v>
      </c>
      <c r="B14" s="10" t="s">
        <v>19</v>
      </c>
    </row>
    <row r="15" customFormat="false" ht="15" hidden="false" customHeight="false" outlineLevel="0" collapsed="false">
      <c r="A15" s="9" t="s">
        <v>20</v>
      </c>
      <c r="B15" s="9" t="s">
        <v>21</v>
      </c>
    </row>
    <row r="16" customFormat="false" ht="15" hidden="false" customHeight="false" outlineLevel="0" collapsed="false">
      <c r="A16" s="10" t="s">
        <v>22</v>
      </c>
      <c r="B16" s="10" t="s">
        <v>23</v>
      </c>
    </row>
    <row r="17" customFormat="false" ht="15" hidden="false" customHeight="false" outlineLevel="0" collapsed="false">
      <c r="A17" s="9" t="s">
        <v>24</v>
      </c>
      <c r="B17" s="9" t="s">
        <v>25</v>
      </c>
    </row>
    <row r="18" customFormat="false" ht="15" hidden="false" customHeight="false" outlineLevel="0" collapsed="false">
      <c r="A18" s="10" t="s">
        <v>26</v>
      </c>
      <c r="B18" s="10" t="s">
        <v>27</v>
      </c>
    </row>
    <row r="19" customFormat="false" ht="15" hidden="false" customHeight="false" outlineLevel="0" collapsed="false">
      <c r="A19" s="9" t="s">
        <v>28</v>
      </c>
      <c r="B19" s="9" t="s">
        <v>29</v>
      </c>
    </row>
    <row r="20" customFormat="false" ht="15" hidden="false" customHeight="false" outlineLevel="0" collapsed="false">
      <c r="A20" s="10" t="s">
        <v>30</v>
      </c>
      <c r="B20" s="10" t="s">
        <v>31</v>
      </c>
    </row>
    <row r="21" customFormat="false" ht="15" hidden="false" customHeight="false" outlineLevel="0" collapsed="false">
      <c r="A21" s="9" t="s">
        <v>32</v>
      </c>
      <c r="B21" s="9" t="s">
        <v>33</v>
      </c>
    </row>
    <row r="22" customFormat="false" ht="15" hidden="false" customHeight="false" outlineLevel="0" collapsed="false">
      <c r="A22" s="10" t="s">
        <v>34</v>
      </c>
      <c r="B22" s="10" t="s">
        <v>35</v>
      </c>
    </row>
    <row r="23" customFormat="false" ht="15" hidden="false" customHeight="false" outlineLevel="0" collapsed="false">
      <c r="A23" s="9" t="s">
        <v>36</v>
      </c>
      <c r="B23" s="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6"/>
  </cols>
  <sheetData>
    <row r="1" customFormat="false" ht="22.05" hidden="false" customHeight="false" outlineLevel="0" collapsed="false">
      <c r="A1" s="1" t="s">
        <v>16</v>
      </c>
    </row>
    <row r="2" customFormat="false" ht="15" hidden="false" customHeight="false" outlineLevel="0" collapsed="false">
      <c r="A2" s="11" t="s">
        <v>38</v>
      </c>
    </row>
    <row r="4" customFormat="false" ht="16.15" hidden="false" customHeight="false" outlineLevel="0" collapsed="false">
      <c r="A4" s="3" t="s">
        <v>39</v>
      </c>
    </row>
    <row r="6" customFormat="false" ht="15" hidden="false" customHeight="false" outlineLevel="0" collapsed="false">
      <c r="A6" s="12" t="s">
        <v>40</v>
      </c>
      <c r="B6" s="13" t="n">
        <f aca="false">COUNTA('01 Master Backlog'!B2:B51)</f>
        <v>50</v>
      </c>
    </row>
    <row r="7" customFormat="false" ht="15" hidden="false" customHeight="false" outlineLevel="0" collapsed="false">
      <c r="A7" s="12" t="s">
        <v>41</v>
      </c>
      <c r="B7" s="13" t="n">
        <f aca="false">COUNTIF('01 Master Backlog'!A2:A51,"✓")</f>
        <v>0</v>
      </c>
    </row>
    <row r="8" customFormat="false" ht="15" hidden="false" customHeight="false" outlineLevel="0" collapsed="false">
      <c r="A8" s="12" t="s">
        <v>42</v>
      </c>
      <c r="B8" s="13" t="n">
        <f aca="false">B6-B7</f>
        <v>50</v>
      </c>
    </row>
    <row r="9" customFormat="false" ht="15" hidden="false" customHeight="false" outlineLevel="0" collapsed="false">
      <c r="A9" s="12" t="s">
        <v>43</v>
      </c>
      <c r="B9" s="14" t="n">
        <f aca="false">IF(B6=0,0,B7/B6)</f>
        <v>0</v>
      </c>
      <c r="C9" s="15" t="str">
        <f aca="false">REPT("█",ROUND(B9*20,0))&amp;REPT("░",20-ROUND(B9*20,0))</f>
        <v>░░░░░░░░░░░░░░░░░░░░</v>
      </c>
    </row>
    <row r="10" customFormat="false" ht="15" hidden="false" customHeight="false" outlineLevel="0" collapsed="false">
      <c r="A10" s="12" t="s">
        <v>44</v>
      </c>
      <c r="B10" s="13" t="n">
        <f aca="false">SUM('01 Master Backlog'!J2:J51)</f>
        <v>137</v>
      </c>
    </row>
    <row r="11" customFormat="false" ht="15" hidden="false" customHeight="false" outlineLevel="0" collapsed="false">
      <c r="A11" s="12" t="s">
        <v>45</v>
      </c>
      <c r="B11" s="13" t="n">
        <f aca="false">SUMIF('01 Master Backlog'!A2:A51,"✓",'01 Master Backlog'!J2:J51)</f>
        <v>0</v>
      </c>
    </row>
    <row r="13" customFormat="false" ht="16.15" hidden="false" customHeight="false" outlineLevel="0" collapsed="false">
      <c r="A13" s="3" t="s">
        <v>46</v>
      </c>
    </row>
    <row r="14" customFormat="false" ht="15" hidden="false" customHeight="false" outlineLevel="0" collapsed="false">
      <c r="A14" s="16" t="s">
        <v>47</v>
      </c>
      <c r="B14" s="16" t="s">
        <v>41</v>
      </c>
      <c r="C14" s="16" t="s">
        <v>48</v>
      </c>
      <c r="D14" s="16" t="s">
        <v>49</v>
      </c>
      <c r="E14" s="16" t="s">
        <v>50</v>
      </c>
    </row>
    <row r="15" customFormat="false" ht="15" hidden="false" customHeight="false" outlineLevel="0" collapsed="false">
      <c r="A15" s="13" t="s">
        <v>51</v>
      </c>
      <c r="B15" s="13" t="n">
        <f aca="false">COUNTIFS('01 Master Backlog'!C2:C51,A15,'01 Master Backlog'!A2:A51,"✓")</f>
        <v>0</v>
      </c>
      <c r="C15" s="13" t="n">
        <f aca="false">COUNTIF('01 Master Backlog'!C2:C51,A15)</f>
        <v>5</v>
      </c>
      <c r="D15" s="17" t="n">
        <f aca="false">IF(C15=0,0,B15/C15)</f>
        <v>0</v>
      </c>
      <c r="E15" s="18" t="str">
        <f aca="false">REPT("█",ROUND(D15*10,0))&amp;REPT("░",10-ROUND(D15*10,0))</f>
        <v>░░░░░░░░░░</v>
      </c>
    </row>
    <row r="16" customFormat="false" ht="15" hidden="false" customHeight="false" outlineLevel="0" collapsed="false">
      <c r="A16" s="13" t="s">
        <v>52</v>
      </c>
      <c r="B16" s="13" t="n">
        <f aca="false">COUNTIFS('01 Master Backlog'!C2:C51,A16,'01 Master Backlog'!A2:A51,"✓")</f>
        <v>0</v>
      </c>
      <c r="C16" s="13" t="n">
        <f aca="false">COUNTIF('01 Master Backlog'!C2:C51,A16)</f>
        <v>8</v>
      </c>
      <c r="D16" s="17" t="n">
        <f aca="false">IF(C16=0,0,B16/C16)</f>
        <v>0</v>
      </c>
      <c r="E16" s="18" t="str">
        <f aca="false">REPT("█",ROUND(D16*10,0))&amp;REPT("░",10-ROUND(D16*10,0))</f>
        <v>░░░░░░░░░░</v>
      </c>
    </row>
    <row r="17" customFormat="false" ht="15" hidden="false" customHeight="false" outlineLevel="0" collapsed="false">
      <c r="A17" s="13" t="s">
        <v>53</v>
      </c>
      <c r="B17" s="13" t="n">
        <f aca="false">COUNTIFS('01 Master Backlog'!C2:C51,A17,'01 Master Backlog'!A2:A51,"✓")</f>
        <v>0</v>
      </c>
      <c r="C17" s="13" t="n">
        <f aca="false">COUNTIF('01 Master Backlog'!C2:C51,A17)</f>
        <v>11</v>
      </c>
      <c r="D17" s="17" t="n">
        <f aca="false">IF(C17=0,0,B17/C17)</f>
        <v>0</v>
      </c>
      <c r="E17" s="18" t="str">
        <f aca="false">REPT("█",ROUND(D17*10,0))&amp;REPT("░",10-ROUND(D17*10,0))</f>
        <v>░░░░░░░░░░</v>
      </c>
    </row>
    <row r="18" customFormat="false" ht="15" hidden="false" customHeight="false" outlineLevel="0" collapsed="false">
      <c r="A18" s="13" t="s">
        <v>54</v>
      </c>
      <c r="B18" s="13" t="n">
        <f aca="false">COUNTIFS('01 Master Backlog'!C2:C51,A18,'01 Master Backlog'!A2:A51,"✓")</f>
        <v>0</v>
      </c>
      <c r="C18" s="13" t="n">
        <f aca="false">COUNTIF('01 Master Backlog'!C2:C51,A18)</f>
        <v>3</v>
      </c>
      <c r="D18" s="17" t="n">
        <f aca="false">IF(C18=0,0,B18/C18)</f>
        <v>0</v>
      </c>
      <c r="E18" s="18" t="str">
        <f aca="false">REPT("█",ROUND(D18*10,0))&amp;REPT("░",10-ROUND(D18*10,0))</f>
        <v>░░░░░░░░░░</v>
      </c>
    </row>
    <row r="19" customFormat="false" ht="15" hidden="false" customHeight="false" outlineLevel="0" collapsed="false">
      <c r="A19" s="13" t="s">
        <v>55</v>
      </c>
      <c r="B19" s="13" t="n">
        <f aca="false">COUNTIFS('01 Master Backlog'!C2:C51,A19,'01 Master Backlog'!A2:A51,"✓")</f>
        <v>0</v>
      </c>
      <c r="C19" s="13" t="n">
        <f aca="false">COUNTIF('01 Master Backlog'!C2:C51,A19)</f>
        <v>5</v>
      </c>
      <c r="D19" s="17" t="n">
        <f aca="false">IF(C19=0,0,B19/C19)</f>
        <v>0</v>
      </c>
      <c r="E19" s="18" t="str">
        <f aca="false">REPT("█",ROUND(D19*10,0))&amp;REPT("░",10-ROUND(D19*10,0))</f>
        <v>░░░░░░░░░░</v>
      </c>
    </row>
    <row r="20" customFormat="false" ht="15" hidden="false" customHeight="false" outlineLevel="0" collapsed="false">
      <c r="A20" s="13" t="s">
        <v>56</v>
      </c>
      <c r="B20" s="13" t="n">
        <f aca="false">COUNTIFS('01 Master Backlog'!C2:C51,A20,'01 Master Backlog'!A2:A51,"✓")</f>
        <v>0</v>
      </c>
      <c r="C20" s="13" t="n">
        <f aca="false">COUNTIF('01 Master Backlog'!C2:C51,A20)</f>
        <v>2</v>
      </c>
      <c r="D20" s="17" t="n">
        <f aca="false">IF(C20=0,0,B20/C20)</f>
        <v>0</v>
      </c>
      <c r="E20" s="18" t="str">
        <f aca="false">REPT("█",ROUND(D20*10,0))&amp;REPT("░",10-ROUND(D20*10,0))</f>
        <v>░░░░░░░░░░</v>
      </c>
    </row>
    <row r="21" customFormat="false" ht="15" hidden="false" customHeight="false" outlineLevel="0" collapsed="false">
      <c r="A21" s="13" t="s">
        <v>57</v>
      </c>
      <c r="B21" s="13" t="n">
        <f aca="false">COUNTIFS('01 Master Backlog'!C2:C51,A21,'01 Master Backlog'!A2:A51,"✓")</f>
        <v>0</v>
      </c>
      <c r="C21" s="13" t="n">
        <f aca="false">COUNTIF('01 Master Backlog'!C2:C51,A21)</f>
        <v>6</v>
      </c>
      <c r="D21" s="17" t="n">
        <f aca="false">IF(C21=0,0,B21/C21)</f>
        <v>0</v>
      </c>
      <c r="E21" s="18" t="str">
        <f aca="false">REPT("█",ROUND(D21*10,0))&amp;REPT("░",10-ROUND(D21*10,0))</f>
        <v>░░░░░░░░░░</v>
      </c>
    </row>
    <row r="22" customFormat="false" ht="15" hidden="false" customHeight="false" outlineLevel="0" collapsed="false">
      <c r="A22" s="13" t="s">
        <v>58</v>
      </c>
      <c r="B22" s="13" t="n">
        <f aca="false">COUNTIFS('01 Master Backlog'!C2:C51,A22,'01 Master Backlog'!A2:A51,"✓")</f>
        <v>0</v>
      </c>
      <c r="C22" s="13" t="n">
        <f aca="false">COUNTIF('01 Master Backlog'!C2:C51,A22)</f>
        <v>6</v>
      </c>
      <c r="D22" s="17" t="n">
        <f aca="false">IF(C22=0,0,B22/C22)</f>
        <v>0</v>
      </c>
      <c r="E22" s="18" t="str">
        <f aca="false">REPT("█",ROUND(D22*10,0))&amp;REPT("░",10-ROUND(D22*10,0))</f>
        <v>░░░░░░░░░░</v>
      </c>
    </row>
    <row r="23" customFormat="false" ht="15" hidden="false" customHeight="false" outlineLevel="0" collapsed="false">
      <c r="A23" s="13" t="s">
        <v>59</v>
      </c>
      <c r="B23" s="13" t="n">
        <f aca="false">COUNTIFS('01 Master Backlog'!C2:C51,A23,'01 Master Backlog'!A2:A51,"✓")</f>
        <v>0</v>
      </c>
      <c r="C23" s="13" t="n">
        <f aca="false">COUNTIF('01 Master Backlog'!C2:C51,A23)</f>
        <v>4</v>
      </c>
      <c r="D23" s="17" t="n">
        <f aca="false">IF(C23=0,0,B23/C23)</f>
        <v>0</v>
      </c>
      <c r="E23" s="18" t="str">
        <f aca="false">REPT("█",ROUND(D23*10,0))&amp;REPT("░",10-ROUND(D23*10,0))</f>
        <v>░░░░░░░░░░</v>
      </c>
    </row>
    <row r="25" customFormat="false" ht="16.15" hidden="false" customHeight="false" outlineLevel="0" collapsed="false">
      <c r="A25" s="3" t="s">
        <v>60</v>
      </c>
    </row>
    <row r="26" customFormat="false" ht="15" hidden="false" customHeight="false" outlineLevel="0" collapsed="false">
      <c r="A26" s="16" t="s">
        <v>61</v>
      </c>
      <c r="B26" s="16" t="s">
        <v>41</v>
      </c>
      <c r="C26" s="16" t="s">
        <v>48</v>
      </c>
      <c r="D26" s="16" t="s">
        <v>49</v>
      </c>
    </row>
    <row r="27" customFormat="false" ht="15" hidden="false" customHeight="false" outlineLevel="0" collapsed="false">
      <c r="A27" s="19" t="s">
        <v>62</v>
      </c>
      <c r="B27" s="13" t="n">
        <f aca="false">COUNTIFS('01 Master Backlog'!H2:H51,A27,'01 Master Backlog'!A2:A51,"✓")</f>
        <v>0</v>
      </c>
      <c r="C27" s="13" t="n">
        <f aca="false">COUNTIF('01 Master Backlog'!H2:H51,A27)</f>
        <v>39</v>
      </c>
      <c r="D27" s="17" t="n">
        <f aca="false">IF(C27=0,0,B27/C27)</f>
        <v>0</v>
      </c>
    </row>
    <row r="28" customFormat="false" ht="15" hidden="false" customHeight="false" outlineLevel="0" collapsed="false">
      <c r="A28" s="20" t="s">
        <v>63</v>
      </c>
      <c r="B28" s="13" t="n">
        <f aca="false">COUNTIFS('01 Master Backlog'!H2:H51,A28,'01 Master Backlog'!A2:A51,"✓")</f>
        <v>0</v>
      </c>
      <c r="C28" s="13" t="n">
        <f aca="false">COUNTIF('01 Master Backlog'!H2:H51,A28)</f>
        <v>8</v>
      </c>
      <c r="D28" s="17" t="n">
        <f aca="false">IF(C28=0,0,B28/C28)</f>
        <v>0</v>
      </c>
    </row>
    <row r="29" customFormat="false" ht="15" hidden="false" customHeight="false" outlineLevel="0" collapsed="false">
      <c r="A29" s="21" t="s">
        <v>64</v>
      </c>
      <c r="B29" s="13" t="n">
        <f aca="false">COUNTIFS('01 Master Backlog'!H2:H51,A29,'01 Master Backlog'!A2:A51,"✓")</f>
        <v>0</v>
      </c>
      <c r="C29" s="13" t="n">
        <f aca="false">COUNTIF('01 Master Backlog'!H2:H51,A29)</f>
        <v>3</v>
      </c>
      <c r="D29" s="17" t="n">
        <f aca="false">IF(C29=0,0,B29/C29)</f>
        <v>0</v>
      </c>
    </row>
    <row r="32" customFormat="false" ht="16.15" hidden="false" customHeight="false" outlineLevel="0" collapsed="false">
      <c r="A32" s="3" t="s">
        <v>65</v>
      </c>
    </row>
    <row r="33" customFormat="false" ht="31.5" hidden="false" customHeight="true" outlineLevel="0" collapsed="false">
      <c r="A33" s="22" t="s">
        <v>66</v>
      </c>
      <c r="B33" s="22"/>
      <c r="C33" s="22"/>
      <c r="D33" s="22"/>
      <c r="E33" s="22"/>
    </row>
  </sheetData>
  <mergeCells count="1">
    <mergeCell ref="A33:E33"/>
  </mergeCells>
  <conditionalFormatting sqref="D15:D23">
    <cfRule type="dataBar" priority="2">
      <dataBar showValue="1" minLength="10" maxLength="90">
        <cfvo type="num" val="0"/>
        <cfvo type="num" val="1"/>
        <color rgb="FF2E5C8A"/>
      </dataBar>
      <extLst>
        <ext xmlns:x14="http://schemas.microsoft.com/office/spreadsheetml/2009/9/main" uri="{B025F937-C7B1-47D3-B67F-A62EFF666E3E}">
          <x14:id>{2B411094-F5CF-46C1-A5FB-FA97C9A5B01C}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411094-F5CF-46C1-A5FB-FA97C9A5B01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5C8A"/>
              <x14:axisColor rgb="FF000000"/>
            </x14:dataBar>
          </x14:cfRule>
          <xm:sqref>D15:D23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66"/>
    <col collapsed="false" customWidth="true" hidden="false" outlineLevel="0" max="7" min="7" style="0" width="46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2"/>
  </cols>
  <sheetData>
    <row r="1" customFormat="false" ht="39.55" hidden="false" customHeight="false" outlineLevel="0" collapsed="false">
      <c r="A1" s="23" t="s">
        <v>67</v>
      </c>
      <c r="B1" s="23" t="s">
        <v>68</v>
      </c>
      <c r="C1" s="23" t="s">
        <v>47</v>
      </c>
      <c r="D1" s="23" t="s">
        <v>69</v>
      </c>
      <c r="E1" s="23" t="s">
        <v>70</v>
      </c>
      <c r="F1" s="23" t="s">
        <v>71</v>
      </c>
      <c r="G1" s="23" t="s">
        <v>72</v>
      </c>
      <c r="H1" s="23" t="s">
        <v>61</v>
      </c>
      <c r="I1" s="23" t="s">
        <v>73</v>
      </c>
      <c r="J1" s="23" t="s">
        <v>74</v>
      </c>
      <c r="K1" s="23" t="s">
        <v>75</v>
      </c>
      <c r="L1" s="23" t="s">
        <v>76</v>
      </c>
    </row>
    <row r="2" customFormat="false" ht="68.65" hidden="false" customHeight="false" outlineLevel="0" collapsed="false">
      <c r="A2" s="24"/>
      <c r="B2" s="25" t="s">
        <v>77</v>
      </c>
      <c r="C2" s="5" t="s">
        <v>51</v>
      </c>
      <c r="D2" s="5" t="s">
        <v>78</v>
      </c>
      <c r="E2" s="5" t="s">
        <v>79</v>
      </c>
      <c r="F2" s="5" t="s">
        <v>80</v>
      </c>
      <c r="G2" s="5" t="s">
        <v>81</v>
      </c>
      <c r="H2" s="26" t="s">
        <v>62</v>
      </c>
      <c r="I2" s="5" t="s">
        <v>82</v>
      </c>
      <c r="J2" s="25" t="n">
        <v>2</v>
      </c>
      <c r="K2" s="25" t="s">
        <v>83</v>
      </c>
      <c r="L2" s="25" t="s">
        <v>84</v>
      </c>
    </row>
    <row r="3" customFormat="false" ht="35.05" hidden="false" customHeight="false" outlineLevel="0" collapsed="false">
      <c r="A3" s="27"/>
      <c r="B3" s="28" t="s">
        <v>85</v>
      </c>
      <c r="C3" s="7" t="s">
        <v>51</v>
      </c>
      <c r="D3" s="7" t="s">
        <v>78</v>
      </c>
      <c r="E3" s="7" t="s">
        <v>86</v>
      </c>
      <c r="F3" s="7" t="s">
        <v>87</v>
      </c>
      <c r="G3" s="7" t="s">
        <v>88</v>
      </c>
      <c r="H3" s="26" t="s">
        <v>62</v>
      </c>
      <c r="I3" s="7" t="s">
        <v>77</v>
      </c>
      <c r="J3" s="28" t="n">
        <v>1</v>
      </c>
      <c r="K3" s="28" t="s">
        <v>83</v>
      </c>
      <c r="L3" s="28" t="s">
        <v>89</v>
      </c>
    </row>
    <row r="4" customFormat="false" ht="57.45" hidden="false" customHeight="false" outlineLevel="0" collapsed="false">
      <c r="A4" s="24"/>
      <c r="B4" s="25" t="s">
        <v>90</v>
      </c>
      <c r="C4" s="5" t="s">
        <v>51</v>
      </c>
      <c r="D4" s="5" t="s">
        <v>91</v>
      </c>
      <c r="E4" s="5" t="s">
        <v>92</v>
      </c>
      <c r="F4" s="5" t="s">
        <v>93</v>
      </c>
      <c r="G4" s="5" t="s">
        <v>94</v>
      </c>
      <c r="H4" s="26" t="s">
        <v>62</v>
      </c>
      <c r="I4" s="5" t="s">
        <v>77</v>
      </c>
      <c r="J4" s="25" t="n">
        <v>2</v>
      </c>
      <c r="K4" s="25" t="s">
        <v>83</v>
      </c>
      <c r="L4" s="25" t="s">
        <v>95</v>
      </c>
    </row>
    <row r="5" customFormat="false" ht="35.05" hidden="false" customHeight="false" outlineLevel="0" collapsed="false">
      <c r="A5" s="27"/>
      <c r="B5" s="28" t="s">
        <v>96</v>
      </c>
      <c r="C5" s="7" t="s">
        <v>51</v>
      </c>
      <c r="D5" s="7" t="s">
        <v>97</v>
      </c>
      <c r="E5" s="7" t="s">
        <v>98</v>
      </c>
      <c r="F5" s="7" t="s">
        <v>99</v>
      </c>
      <c r="G5" s="7" t="s">
        <v>100</v>
      </c>
      <c r="H5" s="29" t="s">
        <v>64</v>
      </c>
      <c r="I5" s="7" t="s">
        <v>77</v>
      </c>
      <c r="J5" s="28" t="n">
        <v>1</v>
      </c>
      <c r="K5" s="28" t="s">
        <v>83</v>
      </c>
      <c r="L5" s="28" t="s">
        <v>101</v>
      </c>
    </row>
    <row r="6" customFormat="false" ht="35.05" hidden="false" customHeight="false" outlineLevel="0" collapsed="false">
      <c r="A6" s="24"/>
      <c r="B6" s="25" t="s">
        <v>102</v>
      </c>
      <c r="C6" s="5" t="s">
        <v>51</v>
      </c>
      <c r="D6" s="5" t="s">
        <v>97</v>
      </c>
      <c r="E6" s="5" t="s">
        <v>103</v>
      </c>
      <c r="F6" s="5" t="s">
        <v>104</v>
      </c>
      <c r="G6" s="5" t="s">
        <v>105</v>
      </c>
      <c r="H6" s="29" t="s">
        <v>64</v>
      </c>
      <c r="I6" s="5" t="s">
        <v>77</v>
      </c>
      <c r="J6" s="25" t="n">
        <v>1</v>
      </c>
      <c r="K6" s="25" t="s">
        <v>83</v>
      </c>
      <c r="L6" s="25" t="s">
        <v>106</v>
      </c>
    </row>
    <row r="7" customFormat="false" ht="57.45" hidden="false" customHeight="false" outlineLevel="0" collapsed="false">
      <c r="A7" s="27"/>
      <c r="B7" s="28" t="s">
        <v>107</v>
      </c>
      <c r="C7" s="7" t="s">
        <v>52</v>
      </c>
      <c r="D7" s="7" t="s">
        <v>108</v>
      </c>
      <c r="E7" s="7" t="s">
        <v>109</v>
      </c>
      <c r="F7" s="7" t="s">
        <v>110</v>
      </c>
      <c r="G7" s="7" t="s">
        <v>111</v>
      </c>
      <c r="H7" s="26" t="s">
        <v>62</v>
      </c>
      <c r="I7" s="7" t="s">
        <v>90</v>
      </c>
      <c r="J7" s="28" t="n">
        <v>3</v>
      </c>
      <c r="K7" s="28" t="s">
        <v>83</v>
      </c>
      <c r="L7" s="28" t="s">
        <v>112</v>
      </c>
    </row>
    <row r="8" customFormat="false" ht="46.25" hidden="false" customHeight="false" outlineLevel="0" collapsed="false">
      <c r="A8" s="24"/>
      <c r="B8" s="25" t="s">
        <v>113</v>
      </c>
      <c r="C8" s="5" t="s">
        <v>52</v>
      </c>
      <c r="D8" s="5" t="s">
        <v>108</v>
      </c>
      <c r="E8" s="5" t="s">
        <v>114</v>
      </c>
      <c r="F8" s="5" t="s">
        <v>115</v>
      </c>
      <c r="G8" s="5" t="s">
        <v>116</v>
      </c>
      <c r="H8" s="26" t="s">
        <v>62</v>
      </c>
      <c r="I8" s="5" t="s">
        <v>107</v>
      </c>
      <c r="J8" s="25" t="n">
        <v>2</v>
      </c>
      <c r="K8" s="25" t="s">
        <v>83</v>
      </c>
      <c r="L8" s="25" t="s">
        <v>117</v>
      </c>
    </row>
    <row r="9" customFormat="false" ht="35.05" hidden="false" customHeight="false" outlineLevel="0" collapsed="false">
      <c r="A9" s="27"/>
      <c r="B9" s="28" t="s">
        <v>118</v>
      </c>
      <c r="C9" s="7" t="s">
        <v>52</v>
      </c>
      <c r="D9" s="7" t="s">
        <v>108</v>
      </c>
      <c r="E9" s="7" t="s">
        <v>119</v>
      </c>
      <c r="F9" s="7" t="s">
        <v>120</v>
      </c>
      <c r="G9" s="7" t="s">
        <v>121</v>
      </c>
      <c r="H9" s="30" t="s">
        <v>63</v>
      </c>
      <c r="I9" s="7" t="s">
        <v>122</v>
      </c>
      <c r="J9" s="28" t="n">
        <v>1</v>
      </c>
      <c r="K9" s="28" t="s">
        <v>83</v>
      </c>
      <c r="L9" s="28" t="s">
        <v>123</v>
      </c>
    </row>
    <row r="10" customFormat="false" ht="46.25" hidden="false" customHeight="false" outlineLevel="0" collapsed="false">
      <c r="A10" s="24"/>
      <c r="B10" s="25" t="s">
        <v>122</v>
      </c>
      <c r="C10" s="5" t="s">
        <v>52</v>
      </c>
      <c r="D10" s="5" t="s">
        <v>108</v>
      </c>
      <c r="E10" s="5" t="s">
        <v>124</v>
      </c>
      <c r="F10" s="5" t="s">
        <v>125</v>
      </c>
      <c r="G10" s="5" t="s">
        <v>126</v>
      </c>
      <c r="H10" s="26" t="s">
        <v>62</v>
      </c>
      <c r="I10" s="5" t="s">
        <v>107</v>
      </c>
      <c r="J10" s="25" t="n">
        <v>3</v>
      </c>
      <c r="K10" s="25" t="s">
        <v>83</v>
      </c>
      <c r="L10" s="25" t="s">
        <v>127</v>
      </c>
    </row>
    <row r="11" customFormat="false" ht="68.65" hidden="false" customHeight="false" outlineLevel="0" collapsed="false">
      <c r="A11" s="27"/>
      <c r="B11" s="28" t="s">
        <v>128</v>
      </c>
      <c r="C11" s="7" t="s">
        <v>52</v>
      </c>
      <c r="D11" s="7" t="s">
        <v>108</v>
      </c>
      <c r="E11" s="7" t="s">
        <v>129</v>
      </c>
      <c r="F11" s="7" t="s">
        <v>130</v>
      </c>
      <c r="G11" s="7" t="s">
        <v>131</v>
      </c>
      <c r="H11" s="26" t="s">
        <v>62</v>
      </c>
      <c r="I11" s="7" t="s">
        <v>132</v>
      </c>
      <c r="J11" s="28" t="n">
        <v>4</v>
      </c>
      <c r="K11" s="28" t="s">
        <v>83</v>
      </c>
      <c r="L11" s="28" t="s">
        <v>133</v>
      </c>
    </row>
    <row r="12" customFormat="false" ht="46.25" hidden="false" customHeight="false" outlineLevel="0" collapsed="false">
      <c r="A12" s="24"/>
      <c r="B12" s="25" t="s">
        <v>134</v>
      </c>
      <c r="C12" s="5" t="s">
        <v>52</v>
      </c>
      <c r="D12" s="5" t="s">
        <v>108</v>
      </c>
      <c r="E12" s="5" t="s">
        <v>135</v>
      </c>
      <c r="F12" s="5" t="s">
        <v>136</v>
      </c>
      <c r="G12" s="5" t="s">
        <v>137</v>
      </c>
      <c r="H12" s="26" t="s">
        <v>62</v>
      </c>
      <c r="I12" s="5" t="s">
        <v>128</v>
      </c>
      <c r="J12" s="25" t="n">
        <v>2</v>
      </c>
      <c r="K12" s="25" t="s">
        <v>83</v>
      </c>
      <c r="L12" s="25" t="s">
        <v>138</v>
      </c>
    </row>
    <row r="13" customFormat="false" ht="46.25" hidden="false" customHeight="false" outlineLevel="0" collapsed="false">
      <c r="A13" s="27"/>
      <c r="B13" s="28" t="s">
        <v>139</v>
      </c>
      <c r="C13" s="7" t="s">
        <v>52</v>
      </c>
      <c r="D13" s="7" t="s">
        <v>108</v>
      </c>
      <c r="E13" s="7" t="s">
        <v>140</v>
      </c>
      <c r="F13" s="7" t="s">
        <v>141</v>
      </c>
      <c r="G13" s="7" t="s">
        <v>142</v>
      </c>
      <c r="H13" s="26" t="s">
        <v>62</v>
      </c>
      <c r="I13" s="7" t="s">
        <v>122</v>
      </c>
      <c r="J13" s="28" t="n">
        <v>3</v>
      </c>
      <c r="K13" s="28" t="s">
        <v>83</v>
      </c>
      <c r="L13" s="28" t="s">
        <v>143</v>
      </c>
    </row>
    <row r="14" customFormat="false" ht="46.25" hidden="false" customHeight="false" outlineLevel="0" collapsed="false">
      <c r="A14" s="24"/>
      <c r="B14" s="25" t="s">
        <v>144</v>
      </c>
      <c r="C14" s="5" t="s">
        <v>52</v>
      </c>
      <c r="D14" s="5" t="s">
        <v>145</v>
      </c>
      <c r="E14" s="5" t="s">
        <v>146</v>
      </c>
      <c r="F14" s="5" t="s">
        <v>147</v>
      </c>
      <c r="G14" s="5" t="s">
        <v>148</v>
      </c>
      <c r="H14" s="26" t="s">
        <v>62</v>
      </c>
      <c r="I14" s="5" t="s">
        <v>128</v>
      </c>
      <c r="J14" s="25" t="n">
        <v>3</v>
      </c>
      <c r="K14" s="25" t="s">
        <v>83</v>
      </c>
      <c r="L14" s="25" t="s">
        <v>149</v>
      </c>
    </row>
    <row r="15" customFormat="false" ht="46.25" hidden="false" customHeight="false" outlineLevel="0" collapsed="false">
      <c r="A15" s="27"/>
      <c r="B15" s="28" t="s">
        <v>150</v>
      </c>
      <c r="C15" s="7" t="s">
        <v>53</v>
      </c>
      <c r="D15" s="7" t="s">
        <v>151</v>
      </c>
      <c r="E15" s="7" t="s">
        <v>152</v>
      </c>
      <c r="F15" s="7" t="s">
        <v>153</v>
      </c>
      <c r="G15" s="7" t="s">
        <v>154</v>
      </c>
      <c r="H15" s="26" t="s">
        <v>62</v>
      </c>
      <c r="I15" s="7" t="s">
        <v>155</v>
      </c>
      <c r="J15" s="28" t="n">
        <v>3</v>
      </c>
      <c r="K15" s="28" t="s">
        <v>83</v>
      </c>
      <c r="L15" s="28" t="s">
        <v>156</v>
      </c>
    </row>
    <row r="16" customFormat="false" ht="57.45" hidden="false" customHeight="false" outlineLevel="0" collapsed="false">
      <c r="A16" s="24"/>
      <c r="B16" s="25" t="s">
        <v>157</v>
      </c>
      <c r="C16" s="5" t="s">
        <v>53</v>
      </c>
      <c r="D16" s="5" t="s">
        <v>158</v>
      </c>
      <c r="E16" s="5" t="s">
        <v>159</v>
      </c>
      <c r="F16" s="5" t="s">
        <v>160</v>
      </c>
      <c r="G16" s="5" t="s">
        <v>161</v>
      </c>
      <c r="H16" s="26" t="s">
        <v>62</v>
      </c>
      <c r="I16" s="5" t="s">
        <v>150</v>
      </c>
      <c r="J16" s="25" t="n">
        <v>5</v>
      </c>
      <c r="K16" s="25" t="s">
        <v>83</v>
      </c>
      <c r="L16" s="25" t="s">
        <v>162</v>
      </c>
    </row>
    <row r="17" customFormat="false" ht="57.45" hidden="false" customHeight="false" outlineLevel="0" collapsed="false">
      <c r="A17" s="27"/>
      <c r="B17" s="28" t="s">
        <v>163</v>
      </c>
      <c r="C17" s="7" t="s">
        <v>53</v>
      </c>
      <c r="D17" s="7" t="s">
        <v>164</v>
      </c>
      <c r="E17" s="7" t="s">
        <v>165</v>
      </c>
      <c r="F17" s="7" t="s">
        <v>166</v>
      </c>
      <c r="G17" s="7" t="s">
        <v>167</v>
      </c>
      <c r="H17" s="26" t="s">
        <v>62</v>
      </c>
      <c r="I17" s="7" t="s">
        <v>90</v>
      </c>
      <c r="J17" s="28" t="n">
        <v>4</v>
      </c>
      <c r="K17" s="28" t="s">
        <v>83</v>
      </c>
      <c r="L17" s="28" t="s">
        <v>168</v>
      </c>
    </row>
    <row r="18" customFormat="false" ht="46.25" hidden="false" customHeight="false" outlineLevel="0" collapsed="false">
      <c r="A18" s="24"/>
      <c r="B18" s="25" t="s">
        <v>169</v>
      </c>
      <c r="C18" s="5" t="s">
        <v>53</v>
      </c>
      <c r="D18" s="5" t="s">
        <v>170</v>
      </c>
      <c r="E18" s="5" t="s">
        <v>171</v>
      </c>
      <c r="F18" s="5" t="s">
        <v>172</v>
      </c>
      <c r="G18" s="5" t="s">
        <v>173</v>
      </c>
      <c r="H18" s="26" t="s">
        <v>62</v>
      </c>
      <c r="I18" s="5" t="s">
        <v>163</v>
      </c>
      <c r="J18" s="25" t="n">
        <v>4</v>
      </c>
      <c r="K18" s="25" t="s">
        <v>83</v>
      </c>
      <c r="L18" s="25" t="s">
        <v>174</v>
      </c>
    </row>
    <row r="19" customFormat="false" ht="46.25" hidden="false" customHeight="false" outlineLevel="0" collapsed="false">
      <c r="A19" s="27"/>
      <c r="B19" s="28" t="s">
        <v>175</v>
      </c>
      <c r="C19" s="7" t="s">
        <v>53</v>
      </c>
      <c r="D19" s="7" t="s">
        <v>176</v>
      </c>
      <c r="E19" s="7" t="s">
        <v>177</v>
      </c>
      <c r="F19" s="7" t="s">
        <v>178</v>
      </c>
      <c r="G19" s="7" t="s">
        <v>179</v>
      </c>
      <c r="H19" s="26" t="s">
        <v>62</v>
      </c>
      <c r="I19" s="7" t="s">
        <v>180</v>
      </c>
      <c r="J19" s="28" t="n">
        <v>5</v>
      </c>
      <c r="K19" s="28" t="s">
        <v>83</v>
      </c>
      <c r="L19" s="28" t="s">
        <v>181</v>
      </c>
    </row>
    <row r="20" customFormat="false" ht="46.25" hidden="false" customHeight="false" outlineLevel="0" collapsed="false">
      <c r="A20" s="24"/>
      <c r="B20" s="25" t="s">
        <v>182</v>
      </c>
      <c r="C20" s="5" t="s">
        <v>53</v>
      </c>
      <c r="D20" s="5" t="s">
        <v>183</v>
      </c>
      <c r="E20" s="5" t="s">
        <v>184</v>
      </c>
      <c r="F20" s="5" t="s">
        <v>185</v>
      </c>
      <c r="G20" s="5" t="s">
        <v>186</v>
      </c>
      <c r="H20" s="26" t="s">
        <v>62</v>
      </c>
      <c r="I20" s="5" t="s">
        <v>187</v>
      </c>
      <c r="J20" s="25" t="n">
        <v>3</v>
      </c>
      <c r="K20" s="25" t="s">
        <v>83</v>
      </c>
      <c r="L20" s="25" t="s">
        <v>188</v>
      </c>
    </row>
    <row r="21" customFormat="false" ht="57.45" hidden="false" customHeight="false" outlineLevel="0" collapsed="false">
      <c r="A21" s="27"/>
      <c r="B21" s="28" t="s">
        <v>189</v>
      </c>
      <c r="C21" s="7" t="s">
        <v>53</v>
      </c>
      <c r="D21" s="7" t="s">
        <v>190</v>
      </c>
      <c r="E21" s="7" t="s">
        <v>191</v>
      </c>
      <c r="F21" s="7" t="s">
        <v>192</v>
      </c>
      <c r="G21" s="7" t="s">
        <v>193</v>
      </c>
      <c r="H21" s="26" t="s">
        <v>62</v>
      </c>
      <c r="I21" s="7" t="s">
        <v>169</v>
      </c>
      <c r="J21" s="28" t="n">
        <v>5</v>
      </c>
      <c r="K21" s="28" t="s">
        <v>83</v>
      </c>
      <c r="L21" s="28" t="s">
        <v>194</v>
      </c>
    </row>
    <row r="22" customFormat="false" ht="79.85" hidden="false" customHeight="false" outlineLevel="0" collapsed="false">
      <c r="A22" s="24"/>
      <c r="B22" s="25" t="s">
        <v>195</v>
      </c>
      <c r="C22" s="5" t="s">
        <v>53</v>
      </c>
      <c r="D22" s="5" t="s">
        <v>196</v>
      </c>
      <c r="E22" s="5" t="s">
        <v>197</v>
      </c>
      <c r="F22" s="5" t="s">
        <v>198</v>
      </c>
      <c r="G22" s="5" t="s">
        <v>199</v>
      </c>
      <c r="H22" s="26" t="s">
        <v>62</v>
      </c>
      <c r="I22" s="5" t="s">
        <v>200</v>
      </c>
      <c r="J22" s="25" t="n">
        <v>8</v>
      </c>
      <c r="K22" s="25" t="s">
        <v>83</v>
      </c>
      <c r="L22" s="25" t="s">
        <v>201</v>
      </c>
    </row>
    <row r="23" customFormat="false" ht="35.05" hidden="false" customHeight="false" outlineLevel="0" collapsed="false">
      <c r="A23" s="27"/>
      <c r="B23" s="28" t="s">
        <v>202</v>
      </c>
      <c r="C23" s="7" t="s">
        <v>53</v>
      </c>
      <c r="D23" s="7" t="s">
        <v>203</v>
      </c>
      <c r="E23" s="7" t="s">
        <v>204</v>
      </c>
      <c r="F23" s="7" t="s">
        <v>205</v>
      </c>
      <c r="G23" s="7" t="s">
        <v>206</v>
      </c>
      <c r="H23" s="26" t="s">
        <v>62</v>
      </c>
      <c r="I23" s="7" t="s">
        <v>195</v>
      </c>
      <c r="J23" s="28" t="n">
        <v>3</v>
      </c>
      <c r="K23" s="28" t="s">
        <v>83</v>
      </c>
      <c r="L23" s="28" t="s">
        <v>207</v>
      </c>
    </row>
    <row r="24" customFormat="false" ht="35.05" hidden="false" customHeight="false" outlineLevel="0" collapsed="false">
      <c r="A24" s="24"/>
      <c r="B24" s="25" t="s">
        <v>208</v>
      </c>
      <c r="C24" s="5" t="s">
        <v>53</v>
      </c>
      <c r="D24" s="5" t="s">
        <v>203</v>
      </c>
      <c r="E24" s="5" t="s">
        <v>209</v>
      </c>
      <c r="F24" s="5" t="s">
        <v>210</v>
      </c>
      <c r="G24" s="5" t="s">
        <v>211</v>
      </c>
      <c r="H24" s="30" t="s">
        <v>63</v>
      </c>
      <c r="I24" s="5" t="s">
        <v>195</v>
      </c>
      <c r="J24" s="25" t="n">
        <v>2</v>
      </c>
      <c r="K24" s="25" t="s">
        <v>83</v>
      </c>
      <c r="L24" s="25" t="s">
        <v>212</v>
      </c>
    </row>
    <row r="25" customFormat="false" ht="46.25" hidden="false" customHeight="false" outlineLevel="0" collapsed="false">
      <c r="A25" s="27"/>
      <c r="B25" s="28" t="s">
        <v>213</v>
      </c>
      <c r="C25" s="7" t="s">
        <v>53</v>
      </c>
      <c r="D25" s="7" t="s">
        <v>214</v>
      </c>
      <c r="E25" s="7" t="s">
        <v>215</v>
      </c>
      <c r="F25" s="7" t="s">
        <v>216</v>
      </c>
      <c r="G25" s="7" t="s">
        <v>217</v>
      </c>
      <c r="H25" s="26" t="s">
        <v>62</v>
      </c>
      <c r="I25" s="7" t="s">
        <v>218</v>
      </c>
      <c r="J25" s="28" t="n">
        <v>3</v>
      </c>
      <c r="K25" s="28" t="s">
        <v>83</v>
      </c>
      <c r="L25" s="28" t="s">
        <v>219</v>
      </c>
    </row>
    <row r="26" customFormat="false" ht="35.05" hidden="false" customHeight="false" outlineLevel="0" collapsed="false">
      <c r="A26" s="24"/>
      <c r="B26" s="25" t="s">
        <v>220</v>
      </c>
      <c r="C26" s="5" t="s">
        <v>54</v>
      </c>
      <c r="D26" s="5" t="s">
        <v>221</v>
      </c>
      <c r="E26" s="5" t="s">
        <v>222</v>
      </c>
      <c r="F26" s="5" t="s">
        <v>223</v>
      </c>
      <c r="G26" s="5" t="s">
        <v>224</v>
      </c>
      <c r="H26" s="30" t="s">
        <v>63</v>
      </c>
      <c r="I26" s="5" t="s">
        <v>225</v>
      </c>
      <c r="J26" s="25" t="n">
        <v>2</v>
      </c>
      <c r="K26" s="25" t="s">
        <v>83</v>
      </c>
      <c r="L26" s="25" t="s">
        <v>226</v>
      </c>
    </row>
    <row r="27" customFormat="false" ht="46.25" hidden="false" customHeight="false" outlineLevel="0" collapsed="false">
      <c r="A27" s="27"/>
      <c r="B27" s="28" t="s">
        <v>227</v>
      </c>
      <c r="C27" s="7" t="s">
        <v>54</v>
      </c>
      <c r="D27" s="7" t="s">
        <v>221</v>
      </c>
      <c r="E27" s="7" t="s">
        <v>228</v>
      </c>
      <c r="F27" s="7" t="s">
        <v>229</v>
      </c>
      <c r="G27" s="7" t="s">
        <v>230</v>
      </c>
      <c r="H27" s="30" t="s">
        <v>63</v>
      </c>
      <c r="I27" s="7" t="s">
        <v>231</v>
      </c>
      <c r="J27" s="28" t="n">
        <v>3</v>
      </c>
      <c r="K27" s="28" t="s">
        <v>83</v>
      </c>
      <c r="L27" s="28" t="s">
        <v>232</v>
      </c>
    </row>
    <row r="28" customFormat="false" ht="23.85" hidden="false" customHeight="false" outlineLevel="0" collapsed="false">
      <c r="A28" s="24"/>
      <c r="B28" s="25" t="s">
        <v>233</v>
      </c>
      <c r="C28" s="5" t="s">
        <v>54</v>
      </c>
      <c r="D28" s="5" t="s">
        <v>234</v>
      </c>
      <c r="E28" s="5" t="s">
        <v>235</v>
      </c>
      <c r="F28" s="5" t="s">
        <v>236</v>
      </c>
      <c r="G28" s="5" t="s">
        <v>237</v>
      </c>
      <c r="H28" s="29" t="s">
        <v>64</v>
      </c>
      <c r="I28" s="5" t="s">
        <v>227</v>
      </c>
      <c r="J28" s="25" t="n">
        <v>1</v>
      </c>
      <c r="K28" s="25" t="s">
        <v>83</v>
      </c>
      <c r="L28" s="25" t="s">
        <v>238</v>
      </c>
    </row>
    <row r="29" customFormat="false" ht="46.25" hidden="false" customHeight="false" outlineLevel="0" collapsed="false">
      <c r="A29" s="27"/>
      <c r="B29" s="28" t="s">
        <v>239</v>
      </c>
      <c r="C29" s="7" t="s">
        <v>55</v>
      </c>
      <c r="D29" s="7" t="s">
        <v>240</v>
      </c>
      <c r="E29" s="7" t="s">
        <v>241</v>
      </c>
      <c r="F29" s="7" t="s">
        <v>242</v>
      </c>
      <c r="G29" s="7" t="s">
        <v>243</v>
      </c>
      <c r="H29" s="26" t="s">
        <v>62</v>
      </c>
      <c r="I29" s="7" t="s">
        <v>244</v>
      </c>
      <c r="J29" s="28" t="n">
        <v>3</v>
      </c>
      <c r="K29" s="28" t="s">
        <v>83</v>
      </c>
      <c r="L29" s="28" t="s">
        <v>245</v>
      </c>
    </row>
    <row r="30" customFormat="false" ht="35.05" hidden="false" customHeight="false" outlineLevel="0" collapsed="false">
      <c r="A30" s="24"/>
      <c r="B30" s="25" t="s">
        <v>246</v>
      </c>
      <c r="C30" s="5" t="s">
        <v>55</v>
      </c>
      <c r="D30" s="5" t="s">
        <v>240</v>
      </c>
      <c r="E30" s="5" t="s">
        <v>247</v>
      </c>
      <c r="F30" s="5" t="s">
        <v>248</v>
      </c>
      <c r="G30" s="5" t="s">
        <v>249</v>
      </c>
      <c r="H30" s="26" t="s">
        <v>62</v>
      </c>
      <c r="I30" s="5" t="s">
        <v>250</v>
      </c>
      <c r="J30" s="25" t="n">
        <v>3</v>
      </c>
      <c r="K30" s="25" t="s">
        <v>83</v>
      </c>
      <c r="L30" s="25" t="s">
        <v>251</v>
      </c>
    </row>
    <row r="31" customFormat="false" ht="46.25" hidden="false" customHeight="false" outlineLevel="0" collapsed="false">
      <c r="A31" s="27"/>
      <c r="B31" s="28" t="s">
        <v>252</v>
      </c>
      <c r="C31" s="7" t="s">
        <v>55</v>
      </c>
      <c r="D31" s="7" t="s">
        <v>240</v>
      </c>
      <c r="E31" s="7" t="s">
        <v>253</v>
      </c>
      <c r="F31" s="7" t="s">
        <v>254</v>
      </c>
      <c r="G31" s="7" t="s">
        <v>255</v>
      </c>
      <c r="H31" s="26" t="s">
        <v>62</v>
      </c>
      <c r="I31" s="7" t="s">
        <v>250</v>
      </c>
      <c r="J31" s="28" t="n">
        <v>4</v>
      </c>
      <c r="K31" s="28" t="s">
        <v>83</v>
      </c>
      <c r="L31" s="28" t="s">
        <v>256</v>
      </c>
    </row>
    <row r="32" customFormat="false" ht="35.05" hidden="false" customHeight="false" outlineLevel="0" collapsed="false">
      <c r="A32" s="24"/>
      <c r="B32" s="25" t="s">
        <v>257</v>
      </c>
      <c r="C32" s="5" t="s">
        <v>55</v>
      </c>
      <c r="D32" s="5" t="s">
        <v>240</v>
      </c>
      <c r="E32" s="5" t="s">
        <v>258</v>
      </c>
      <c r="F32" s="5" t="s">
        <v>259</v>
      </c>
      <c r="G32" s="5" t="s">
        <v>260</v>
      </c>
      <c r="H32" s="26" t="s">
        <v>62</v>
      </c>
      <c r="I32" s="5" t="s">
        <v>250</v>
      </c>
      <c r="J32" s="25" t="n">
        <v>3</v>
      </c>
      <c r="K32" s="25" t="s">
        <v>83</v>
      </c>
      <c r="L32" s="25" t="s">
        <v>212</v>
      </c>
    </row>
    <row r="33" customFormat="false" ht="46.25" hidden="false" customHeight="false" outlineLevel="0" collapsed="false">
      <c r="A33" s="27"/>
      <c r="B33" s="28" t="s">
        <v>261</v>
      </c>
      <c r="C33" s="7" t="s">
        <v>55</v>
      </c>
      <c r="D33" s="7" t="s">
        <v>240</v>
      </c>
      <c r="E33" s="7" t="s">
        <v>262</v>
      </c>
      <c r="F33" s="7" t="s">
        <v>263</v>
      </c>
      <c r="G33" s="7" t="s">
        <v>264</v>
      </c>
      <c r="H33" s="30" t="s">
        <v>63</v>
      </c>
      <c r="I33" s="7" t="s">
        <v>265</v>
      </c>
      <c r="J33" s="28" t="n">
        <v>3</v>
      </c>
      <c r="K33" s="28" t="s">
        <v>83</v>
      </c>
      <c r="L33" s="28" t="s">
        <v>266</v>
      </c>
    </row>
    <row r="34" customFormat="false" ht="57.45" hidden="false" customHeight="false" outlineLevel="0" collapsed="false">
      <c r="A34" s="24"/>
      <c r="B34" s="25" t="s">
        <v>267</v>
      </c>
      <c r="C34" s="5" t="s">
        <v>56</v>
      </c>
      <c r="D34" s="5" t="s">
        <v>268</v>
      </c>
      <c r="E34" s="5" t="s">
        <v>269</v>
      </c>
      <c r="F34" s="5" t="s">
        <v>270</v>
      </c>
      <c r="G34" s="5" t="s">
        <v>271</v>
      </c>
      <c r="H34" s="26" t="s">
        <v>62</v>
      </c>
      <c r="I34" s="5" t="s">
        <v>272</v>
      </c>
      <c r="J34" s="25" t="n">
        <v>4</v>
      </c>
      <c r="K34" s="25" t="s">
        <v>83</v>
      </c>
      <c r="L34" s="25" t="s">
        <v>273</v>
      </c>
    </row>
    <row r="35" customFormat="false" ht="35.05" hidden="false" customHeight="false" outlineLevel="0" collapsed="false">
      <c r="A35" s="27"/>
      <c r="B35" s="28" t="s">
        <v>274</v>
      </c>
      <c r="C35" s="7" t="s">
        <v>56</v>
      </c>
      <c r="D35" s="7" t="s">
        <v>275</v>
      </c>
      <c r="E35" s="7" t="s">
        <v>276</v>
      </c>
      <c r="F35" s="7" t="s">
        <v>277</v>
      </c>
      <c r="G35" s="7" t="s">
        <v>278</v>
      </c>
      <c r="H35" s="26" t="s">
        <v>62</v>
      </c>
      <c r="I35" s="7" t="s">
        <v>279</v>
      </c>
      <c r="J35" s="28" t="n">
        <v>3</v>
      </c>
      <c r="K35" s="28" t="s">
        <v>83</v>
      </c>
      <c r="L35" s="28" t="s">
        <v>280</v>
      </c>
    </row>
    <row r="36" customFormat="false" ht="23.85" hidden="false" customHeight="false" outlineLevel="0" collapsed="false">
      <c r="A36" s="24"/>
      <c r="B36" s="25" t="s">
        <v>281</v>
      </c>
      <c r="C36" s="5" t="s">
        <v>57</v>
      </c>
      <c r="D36" s="5" t="s">
        <v>282</v>
      </c>
      <c r="E36" s="5" t="s">
        <v>283</v>
      </c>
      <c r="F36" s="5" t="s">
        <v>284</v>
      </c>
      <c r="G36" s="5" t="s">
        <v>285</v>
      </c>
      <c r="H36" s="30" t="s">
        <v>63</v>
      </c>
      <c r="I36" s="5" t="s">
        <v>150</v>
      </c>
      <c r="J36" s="25" t="n">
        <v>2</v>
      </c>
      <c r="K36" s="25" t="s">
        <v>83</v>
      </c>
      <c r="L36" s="25" t="s">
        <v>286</v>
      </c>
    </row>
    <row r="37" customFormat="false" ht="23.85" hidden="false" customHeight="false" outlineLevel="0" collapsed="false">
      <c r="A37" s="27"/>
      <c r="B37" s="28" t="s">
        <v>287</v>
      </c>
      <c r="C37" s="7" t="s">
        <v>57</v>
      </c>
      <c r="D37" s="7" t="s">
        <v>282</v>
      </c>
      <c r="E37" s="7" t="s">
        <v>288</v>
      </c>
      <c r="F37" s="7" t="s">
        <v>289</v>
      </c>
      <c r="G37" s="7" t="s">
        <v>290</v>
      </c>
      <c r="H37" s="26" t="s">
        <v>62</v>
      </c>
      <c r="I37" s="7" t="s">
        <v>157</v>
      </c>
      <c r="J37" s="28" t="n">
        <v>3</v>
      </c>
      <c r="K37" s="28" t="s">
        <v>83</v>
      </c>
      <c r="L37" s="28" t="s">
        <v>291</v>
      </c>
    </row>
    <row r="38" customFormat="false" ht="23.85" hidden="false" customHeight="false" outlineLevel="0" collapsed="false">
      <c r="A38" s="24"/>
      <c r="B38" s="25" t="s">
        <v>292</v>
      </c>
      <c r="C38" s="5" t="s">
        <v>57</v>
      </c>
      <c r="D38" s="5" t="s">
        <v>282</v>
      </c>
      <c r="E38" s="5" t="s">
        <v>293</v>
      </c>
      <c r="F38" s="5" t="s">
        <v>294</v>
      </c>
      <c r="G38" s="5" t="s">
        <v>295</v>
      </c>
      <c r="H38" s="30" t="s">
        <v>63</v>
      </c>
      <c r="I38" s="5" t="s">
        <v>187</v>
      </c>
      <c r="J38" s="25" t="n">
        <v>3</v>
      </c>
      <c r="K38" s="25" t="s">
        <v>83</v>
      </c>
      <c r="L38" s="25" t="s">
        <v>296</v>
      </c>
    </row>
    <row r="39" customFormat="false" ht="23.85" hidden="false" customHeight="false" outlineLevel="0" collapsed="false">
      <c r="A39" s="27"/>
      <c r="B39" s="28" t="s">
        <v>297</v>
      </c>
      <c r="C39" s="7" t="s">
        <v>57</v>
      </c>
      <c r="D39" s="7" t="s">
        <v>298</v>
      </c>
      <c r="E39" s="7" t="s">
        <v>299</v>
      </c>
      <c r="F39" s="7" t="s">
        <v>300</v>
      </c>
      <c r="G39" s="7" t="s">
        <v>301</v>
      </c>
      <c r="H39" s="26" t="s">
        <v>62</v>
      </c>
      <c r="I39" s="7" t="s">
        <v>302</v>
      </c>
      <c r="J39" s="28" t="n">
        <v>2</v>
      </c>
      <c r="K39" s="28" t="s">
        <v>83</v>
      </c>
      <c r="L39" s="28" t="s">
        <v>303</v>
      </c>
    </row>
    <row r="40" customFormat="false" ht="23.85" hidden="false" customHeight="false" outlineLevel="0" collapsed="false">
      <c r="A40" s="24"/>
      <c r="B40" s="25" t="s">
        <v>304</v>
      </c>
      <c r="C40" s="5" t="s">
        <v>57</v>
      </c>
      <c r="D40" s="5" t="s">
        <v>305</v>
      </c>
      <c r="E40" s="5" t="s">
        <v>306</v>
      </c>
      <c r="F40" s="5" t="s">
        <v>307</v>
      </c>
      <c r="G40" s="5" t="s">
        <v>308</v>
      </c>
      <c r="H40" s="26" t="s">
        <v>62</v>
      </c>
      <c r="I40" s="5" t="s">
        <v>309</v>
      </c>
      <c r="J40" s="25" t="n">
        <v>3</v>
      </c>
      <c r="K40" s="25" t="s">
        <v>83</v>
      </c>
      <c r="L40" s="25" t="s">
        <v>310</v>
      </c>
    </row>
    <row r="41" customFormat="false" ht="23.85" hidden="false" customHeight="false" outlineLevel="0" collapsed="false">
      <c r="A41" s="27"/>
      <c r="B41" s="28" t="s">
        <v>311</v>
      </c>
      <c r="C41" s="7" t="s">
        <v>57</v>
      </c>
      <c r="D41" s="7" t="s">
        <v>312</v>
      </c>
      <c r="E41" s="7" t="s">
        <v>313</v>
      </c>
      <c r="F41" s="7" t="s">
        <v>314</v>
      </c>
      <c r="G41" s="7" t="s">
        <v>315</v>
      </c>
      <c r="H41" s="30" t="s">
        <v>63</v>
      </c>
      <c r="I41" s="7" t="s">
        <v>316</v>
      </c>
      <c r="J41" s="28" t="n">
        <v>2</v>
      </c>
      <c r="K41" s="28" t="s">
        <v>83</v>
      </c>
      <c r="L41" s="28" t="s">
        <v>317</v>
      </c>
    </row>
    <row r="42" customFormat="false" ht="46.25" hidden="false" customHeight="false" outlineLevel="0" collapsed="false">
      <c r="A42" s="24"/>
      <c r="B42" s="25" t="s">
        <v>318</v>
      </c>
      <c r="C42" s="5" t="s">
        <v>58</v>
      </c>
      <c r="D42" s="5" t="s">
        <v>97</v>
      </c>
      <c r="E42" s="5" t="s">
        <v>319</v>
      </c>
      <c r="F42" s="5" t="s">
        <v>320</v>
      </c>
      <c r="G42" s="5" t="s">
        <v>321</v>
      </c>
      <c r="H42" s="26" t="s">
        <v>62</v>
      </c>
      <c r="I42" s="5" t="s">
        <v>322</v>
      </c>
      <c r="J42" s="25" t="n">
        <v>3</v>
      </c>
      <c r="K42" s="25" t="s">
        <v>83</v>
      </c>
      <c r="L42" s="25" t="s">
        <v>323</v>
      </c>
    </row>
    <row r="43" customFormat="false" ht="57.45" hidden="false" customHeight="false" outlineLevel="0" collapsed="false">
      <c r="A43" s="27"/>
      <c r="B43" s="28" t="s">
        <v>324</v>
      </c>
      <c r="C43" s="7" t="s">
        <v>58</v>
      </c>
      <c r="D43" s="7" t="s">
        <v>97</v>
      </c>
      <c r="E43" s="7" t="s">
        <v>325</v>
      </c>
      <c r="F43" s="7" t="s">
        <v>326</v>
      </c>
      <c r="G43" s="7" t="s">
        <v>327</v>
      </c>
      <c r="H43" s="26" t="s">
        <v>62</v>
      </c>
      <c r="I43" s="7" t="s">
        <v>328</v>
      </c>
      <c r="J43" s="28" t="n">
        <v>3</v>
      </c>
      <c r="K43" s="28" t="s">
        <v>83</v>
      </c>
      <c r="L43" s="28" t="s">
        <v>329</v>
      </c>
    </row>
    <row r="44" customFormat="false" ht="79.85" hidden="false" customHeight="false" outlineLevel="0" collapsed="false">
      <c r="A44" s="24"/>
      <c r="B44" s="25" t="s">
        <v>330</v>
      </c>
      <c r="C44" s="5" t="s">
        <v>58</v>
      </c>
      <c r="D44" s="5" t="s">
        <v>97</v>
      </c>
      <c r="E44" s="5" t="s">
        <v>331</v>
      </c>
      <c r="F44" s="5" t="s">
        <v>332</v>
      </c>
      <c r="G44" s="5" t="s">
        <v>333</v>
      </c>
      <c r="H44" s="26" t="s">
        <v>62</v>
      </c>
      <c r="I44" s="5" t="s">
        <v>334</v>
      </c>
      <c r="J44" s="25" t="n">
        <v>4</v>
      </c>
      <c r="K44" s="25" t="s">
        <v>83</v>
      </c>
      <c r="L44" s="25" t="s">
        <v>335</v>
      </c>
    </row>
    <row r="45" customFormat="false" ht="35.05" hidden="false" customHeight="false" outlineLevel="0" collapsed="false">
      <c r="A45" s="27"/>
      <c r="B45" s="28" t="s">
        <v>336</v>
      </c>
      <c r="C45" s="7" t="s">
        <v>58</v>
      </c>
      <c r="D45" s="7" t="s">
        <v>97</v>
      </c>
      <c r="E45" s="7" t="s">
        <v>337</v>
      </c>
      <c r="F45" s="7" t="s">
        <v>338</v>
      </c>
      <c r="G45" s="7" t="s">
        <v>339</v>
      </c>
      <c r="H45" s="26" t="s">
        <v>62</v>
      </c>
      <c r="I45" s="7" t="s">
        <v>340</v>
      </c>
      <c r="J45" s="28" t="n">
        <v>1</v>
      </c>
      <c r="K45" s="28" t="s">
        <v>83</v>
      </c>
      <c r="L45" s="28" t="s">
        <v>341</v>
      </c>
    </row>
    <row r="46" customFormat="false" ht="35.05" hidden="false" customHeight="false" outlineLevel="0" collapsed="false">
      <c r="A46" s="24"/>
      <c r="B46" s="25" t="s">
        <v>342</v>
      </c>
      <c r="C46" s="5" t="s">
        <v>58</v>
      </c>
      <c r="D46" s="5" t="s">
        <v>97</v>
      </c>
      <c r="E46" s="5" t="s">
        <v>343</v>
      </c>
      <c r="F46" s="5" t="s">
        <v>344</v>
      </c>
      <c r="G46" s="5" t="s">
        <v>345</v>
      </c>
      <c r="H46" s="26" t="s">
        <v>62</v>
      </c>
      <c r="I46" s="5" t="s">
        <v>346</v>
      </c>
      <c r="J46" s="25" t="n">
        <v>2</v>
      </c>
      <c r="K46" s="25" t="s">
        <v>83</v>
      </c>
      <c r="L46" s="25" t="s">
        <v>347</v>
      </c>
    </row>
    <row r="47" customFormat="false" ht="68.65" hidden="false" customHeight="false" outlineLevel="0" collapsed="false">
      <c r="A47" s="27"/>
      <c r="B47" s="28" t="s">
        <v>348</v>
      </c>
      <c r="C47" s="7" t="s">
        <v>58</v>
      </c>
      <c r="D47" s="7" t="s">
        <v>97</v>
      </c>
      <c r="E47" s="7" t="s">
        <v>349</v>
      </c>
      <c r="F47" s="7" t="s">
        <v>350</v>
      </c>
      <c r="G47" s="7" t="s">
        <v>351</v>
      </c>
      <c r="H47" s="26" t="s">
        <v>62</v>
      </c>
      <c r="I47" s="7" t="s">
        <v>102</v>
      </c>
      <c r="J47" s="28" t="n">
        <v>2</v>
      </c>
      <c r="K47" s="28" t="s">
        <v>83</v>
      </c>
      <c r="L47" s="28" t="s">
        <v>352</v>
      </c>
    </row>
    <row r="48" customFormat="false" ht="23.85" hidden="false" customHeight="false" outlineLevel="0" collapsed="false">
      <c r="A48" s="24"/>
      <c r="B48" s="25" t="s">
        <v>353</v>
      </c>
      <c r="C48" s="5" t="s">
        <v>59</v>
      </c>
      <c r="D48" s="5" t="s">
        <v>354</v>
      </c>
      <c r="E48" s="5" t="s">
        <v>355</v>
      </c>
      <c r="F48" s="5" t="s">
        <v>356</v>
      </c>
      <c r="G48" s="5" t="s">
        <v>357</v>
      </c>
      <c r="H48" s="26" t="s">
        <v>62</v>
      </c>
      <c r="I48" s="5" t="s">
        <v>358</v>
      </c>
      <c r="J48" s="25" t="n">
        <v>1</v>
      </c>
      <c r="K48" s="25" t="s">
        <v>83</v>
      </c>
      <c r="L48" s="25" t="s">
        <v>359</v>
      </c>
    </row>
    <row r="49" customFormat="false" ht="23.85" hidden="false" customHeight="false" outlineLevel="0" collapsed="false">
      <c r="A49" s="27"/>
      <c r="B49" s="28" t="s">
        <v>360</v>
      </c>
      <c r="C49" s="7" t="s">
        <v>59</v>
      </c>
      <c r="D49" s="7" t="s">
        <v>354</v>
      </c>
      <c r="E49" s="7" t="s">
        <v>361</v>
      </c>
      <c r="F49" s="7" t="s">
        <v>362</v>
      </c>
      <c r="G49" s="7" t="s">
        <v>363</v>
      </c>
      <c r="H49" s="26" t="s">
        <v>62</v>
      </c>
      <c r="I49" s="7" t="s">
        <v>364</v>
      </c>
      <c r="J49" s="28" t="n">
        <v>2</v>
      </c>
      <c r="K49" s="28" t="s">
        <v>83</v>
      </c>
      <c r="L49" s="28" t="s">
        <v>365</v>
      </c>
    </row>
    <row r="50" customFormat="false" ht="23.85" hidden="false" customHeight="false" outlineLevel="0" collapsed="false">
      <c r="A50" s="24"/>
      <c r="B50" s="25" t="s">
        <v>366</v>
      </c>
      <c r="C50" s="5" t="s">
        <v>59</v>
      </c>
      <c r="D50" s="5" t="s">
        <v>367</v>
      </c>
      <c r="E50" s="5" t="s">
        <v>368</v>
      </c>
      <c r="F50" s="5" t="s">
        <v>369</v>
      </c>
      <c r="G50" s="5" t="s">
        <v>370</v>
      </c>
      <c r="H50" s="26" t="s">
        <v>62</v>
      </c>
      <c r="I50" s="5" t="s">
        <v>371</v>
      </c>
      <c r="J50" s="25" t="n">
        <v>1</v>
      </c>
      <c r="K50" s="25" t="s">
        <v>83</v>
      </c>
      <c r="L50" s="25" t="s">
        <v>372</v>
      </c>
    </row>
    <row r="51" customFormat="false" ht="23.85" hidden="false" customHeight="false" outlineLevel="0" collapsed="false">
      <c r="A51" s="27"/>
      <c r="B51" s="28" t="s">
        <v>373</v>
      </c>
      <c r="C51" s="7" t="s">
        <v>59</v>
      </c>
      <c r="D51" s="7" t="s">
        <v>374</v>
      </c>
      <c r="E51" s="7" t="s">
        <v>375</v>
      </c>
      <c r="F51" s="7" t="s">
        <v>376</v>
      </c>
      <c r="G51" s="7" t="s">
        <v>377</v>
      </c>
      <c r="H51" s="26" t="s">
        <v>62</v>
      </c>
      <c r="I51" s="7" t="s">
        <v>378</v>
      </c>
      <c r="J51" s="28" t="n">
        <v>1</v>
      </c>
      <c r="K51" s="28" t="s">
        <v>83</v>
      </c>
      <c r="L51" s="28" t="s">
        <v>379</v>
      </c>
    </row>
    <row r="53" customFormat="false" ht="15" hidden="false" customHeight="false" outlineLevel="0" collapsed="false">
      <c r="I53" s="31" t="s">
        <v>380</v>
      </c>
      <c r="J53" s="32" t="str">
        <f aca="false">COUNTIF(A2:A51,"✓")&amp;" / "&amp;COUNTA(B2:B51)</f>
        <v>0 / 50</v>
      </c>
    </row>
    <row r="54" customFormat="false" ht="15" hidden="false" customHeight="false" outlineLevel="0" collapsed="false">
      <c r="I54" s="31" t="s">
        <v>381</v>
      </c>
      <c r="J54" s="32" t="n">
        <f aca="false">SUM(J2:J51)</f>
        <v>137</v>
      </c>
    </row>
  </sheetData>
  <autoFilter ref="A1:L51"/>
  <conditionalFormatting sqref="A2:L51">
    <cfRule type="expression" priority="2" aboveAverage="0" equalAverage="0" bottom="0" percent="0" rank="0" text="" dxfId="8">
      <formula>$A2="✓"</formula>
    </cfRule>
  </conditionalFormatting>
  <dataValidations count="2">
    <dataValidation allowBlank="true" errorStyle="stop" operator="between" prompt="Select ✓ when done" promptTitle="Mark complete" showDropDown="false" showErrorMessage="false" showInputMessage="false" sqref="A2:A51" type="list">
      <formula1>"✓"</formula1>
      <formula2>0</formula2>
    </dataValidation>
    <dataValidation allowBlank="true" errorStyle="stop" operator="between" showDropDown="false" showErrorMessage="false" showInputMessage="false" sqref="K2:K51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76"/>
    <col collapsed="false" customWidth="true" hidden="false" outlineLevel="0" max="4" min="4" style="0" width="9"/>
    <col collapsed="false" customWidth="true" hidden="false" outlineLevel="0" max="5" min="5" style="0" width="26"/>
  </cols>
  <sheetData>
    <row r="1" customFormat="false" ht="39.55" hidden="false" customHeight="false" outlineLevel="0" collapsed="false">
      <c r="A1" s="23" t="s">
        <v>67</v>
      </c>
      <c r="B1" s="23" t="s">
        <v>382</v>
      </c>
      <c r="C1" s="23" t="s">
        <v>383</v>
      </c>
      <c r="D1" s="23" t="s">
        <v>384</v>
      </c>
      <c r="E1" s="23" t="s">
        <v>385</v>
      </c>
    </row>
    <row r="2" customFormat="false" ht="17.35" hidden="false" customHeight="false" outlineLevel="0" collapsed="false">
      <c r="A2" s="33"/>
      <c r="B2" s="34" t="s">
        <v>386</v>
      </c>
      <c r="C2" s="5" t="s">
        <v>387</v>
      </c>
      <c r="D2" s="34" t="s">
        <v>388</v>
      </c>
      <c r="E2" s="5" t="s">
        <v>389</v>
      </c>
    </row>
    <row r="3" customFormat="false" ht="17.35" hidden="false" customHeight="false" outlineLevel="0" collapsed="false">
      <c r="A3" s="35"/>
      <c r="B3" s="36" t="s">
        <v>390</v>
      </c>
      <c r="C3" s="7" t="s">
        <v>391</v>
      </c>
      <c r="D3" s="36" t="s">
        <v>388</v>
      </c>
      <c r="E3" s="7" t="s">
        <v>392</v>
      </c>
    </row>
    <row r="4" customFormat="false" ht="17.35" hidden="false" customHeight="false" outlineLevel="0" collapsed="false">
      <c r="A4" s="33"/>
      <c r="B4" s="34" t="s">
        <v>393</v>
      </c>
      <c r="C4" s="5" t="s">
        <v>394</v>
      </c>
      <c r="D4" s="34" t="s">
        <v>388</v>
      </c>
      <c r="E4" s="5" t="s">
        <v>85</v>
      </c>
    </row>
    <row r="5" customFormat="false" ht="17.35" hidden="false" customHeight="false" outlineLevel="0" collapsed="false">
      <c r="A5" s="35"/>
      <c r="B5" s="36" t="s">
        <v>395</v>
      </c>
      <c r="C5" s="7" t="s">
        <v>396</v>
      </c>
      <c r="D5" s="36" t="s">
        <v>397</v>
      </c>
      <c r="E5" s="7" t="s">
        <v>398</v>
      </c>
    </row>
    <row r="6" customFormat="false" ht="17.35" hidden="false" customHeight="false" outlineLevel="0" collapsed="false">
      <c r="A6" s="33"/>
      <c r="B6" s="34" t="s">
        <v>399</v>
      </c>
      <c r="C6" s="5" t="s">
        <v>400</v>
      </c>
      <c r="D6" s="34" t="s">
        <v>388</v>
      </c>
      <c r="E6" s="5" t="s">
        <v>401</v>
      </c>
    </row>
    <row r="7" customFormat="false" ht="17.35" hidden="false" customHeight="false" outlineLevel="0" collapsed="false">
      <c r="A7" s="35"/>
      <c r="B7" s="36" t="s">
        <v>402</v>
      </c>
      <c r="C7" s="7" t="s">
        <v>403</v>
      </c>
      <c r="D7" s="36" t="s">
        <v>388</v>
      </c>
      <c r="E7" s="7" t="s">
        <v>404</v>
      </c>
    </row>
    <row r="8" customFormat="false" ht="17.35" hidden="false" customHeight="false" outlineLevel="0" collapsed="false">
      <c r="A8" s="33"/>
      <c r="B8" s="34" t="s">
        <v>405</v>
      </c>
      <c r="C8" s="5" t="s">
        <v>406</v>
      </c>
      <c r="D8" s="34" t="s">
        <v>388</v>
      </c>
      <c r="E8" s="5" t="s">
        <v>407</v>
      </c>
    </row>
    <row r="9" customFormat="false" ht="17.35" hidden="false" customHeight="false" outlineLevel="0" collapsed="false">
      <c r="A9" s="35"/>
      <c r="B9" s="36" t="s">
        <v>408</v>
      </c>
      <c r="C9" s="7" t="s">
        <v>409</v>
      </c>
      <c r="D9" s="36" t="s">
        <v>397</v>
      </c>
      <c r="E9" s="7" t="s">
        <v>410</v>
      </c>
    </row>
    <row r="10" customFormat="false" ht="17.35" hidden="false" customHeight="false" outlineLevel="0" collapsed="false">
      <c r="A10" s="33"/>
      <c r="B10" s="34" t="s">
        <v>411</v>
      </c>
      <c r="C10" s="5" t="s">
        <v>412</v>
      </c>
      <c r="D10" s="34" t="s">
        <v>397</v>
      </c>
      <c r="E10" s="5" t="s">
        <v>413</v>
      </c>
    </row>
    <row r="11" customFormat="false" ht="17.35" hidden="false" customHeight="false" outlineLevel="0" collapsed="false">
      <c r="A11" s="35"/>
      <c r="B11" s="36" t="s">
        <v>414</v>
      </c>
      <c r="C11" s="7" t="s">
        <v>415</v>
      </c>
      <c r="D11" s="36" t="s">
        <v>397</v>
      </c>
      <c r="E11" s="7" t="s">
        <v>416</v>
      </c>
    </row>
    <row r="12" customFormat="false" ht="17.35" hidden="false" customHeight="false" outlineLevel="0" collapsed="false">
      <c r="A12" s="33"/>
      <c r="B12" s="34" t="s">
        <v>417</v>
      </c>
      <c r="C12" s="5" t="s">
        <v>418</v>
      </c>
      <c r="D12" s="34" t="s">
        <v>397</v>
      </c>
      <c r="E12" s="5" t="s">
        <v>419</v>
      </c>
    </row>
    <row r="13" customFormat="false" ht="17.35" hidden="false" customHeight="false" outlineLevel="0" collapsed="false">
      <c r="A13" s="35"/>
      <c r="B13" s="36" t="s">
        <v>420</v>
      </c>
      <c r="C13" s="7" t="s">
        <v>421</v>
      </c>
      <c r="D13" s="36" t="s">
        <v>397</v>
      </c>
      <c r="E13" s="7" t="s">
        <v>419</v>
      </c>
    </row>
    <row r="14" customFormat="false" ht="17.35" hidden="false" customHeight="false" outlineLevel="0" collapsed="false">
      <c r="A14" s="33"/>
      <c r="B14" s="34" t="s">
        <v>422</v>
      </c>
      <c r="C14" s="5" t="s">
        <v>423</v>
      </c>
      <c r="D14" s="34" t="s">
        <v>397</v>
      </c>
      <c r="E14" s="5" t="s">
        <v>424</v>
      </c>
    </row>
    <row r="15" customFormat="false" ht="17.35" hidden="false" customHeight="false" outlineLevel="0" collapsed="false">
      <c r="A15" s="35"/>
      <c r="B15" s="36" t="s">
        <v>425</v>
      </c>
      <c r="C15" s="7" t="s">
        <v>426</v>
      </c>
      <c r="D15" s="36" t="s">
        <v>397</v>
      </c>
      <c r="E15" s="7" t="s">
        <v>427</v>
      </c>
    </row>
    <row r="16" customFormat="false" ht="17.35" hidden="false" customHeight="false" outlineLevel="0" collapsed="false">
      <c r="A16" s="33"/>
      <c r="B16" s="34" t="s">
        <v>428</v>
      </c>
      <c r="C16" s="5" t="s">
        <v>429</v>
      </c>
      <c r="D16" s="34" t="s">
        <v>397</v>
      </c>
      <c r="E16" s="5" t="s">
        <v>430</v>
      </c>
    </row>
    <row r="17" customFormat="false" ht="17.35" hidden="false" customHeight="false" outlineLevel="0" collapsed="false">
      <c r="A17" s="35"/>
      <c r="B17" s="36" t="s">
        <v>431</v>
      </c>
      <c r="C17" s="7" t="s">
        <v>432</v>
      </c>
      <c r="D17" s="36" t="s">
        <v>433</v>
      </c>
      <c r="E17" s="7" t="s">
        <v>434</v>
      </c>
    </row>
    <row r="18" customFormat="false" ht="17.35" hidden="false" customHeight="false" outlineLevel="0" collapsed="false">
      <c r="A18" s="33"/>
      <c r="B18" s="34" t="s">
        <v>435</v>
      </c>
      <c r="C18" s="5" t="s">
        <v>436</v>
      </c>
      <c r="D18" s="34" t="s">
        <v>433</v>
      </c>
      <c r="E18" s="5" t="s">
        <v>169</v>
      </c>
    </row>
    <row r="19" customFormat="false" ht="17.35" hidden="false" customHeight="false" outlineLevel="0" collapsed="false">
      <c r="A19" s="35"/>
      <c r="B19" s="36" t="s">
        <v>437</v>
      </c>
      <c r="C19" s="7" t="s">
        <v>438</v>
      </c>
      <c r="D19" s="36" t="s">
        <v>433</v>
      </c>
      <c r="E19" s="7" t="s">
        <v>439</v>
      </c>
    </row>
    <row r="20" customFormat="false" ht="17.35" hidden="false" customHeight="false" outlineLevel="0" collapsed="false">
      <c r="A20" s="33"/>
      <c r="B20" s="34" t="s">
        <v>440</v>
      </c>
      <c r="C20" s="5" t="s">
        <v>441</v>
      </c>
      <c r="D20" s="34" t="s">
        <v>433</v>
      </c>
      <c r="E20" s="5" t="s">
        <v>442</v>
      </c>
    </row>
    <row r="21" customFormat="false" ht="17.35" hidden="false" customHeight="false" outlineLevel="0" collapsed="false">
      <c r="A21" s="35"/>
      <c r="B21" s="36" t="s">
        <v>443</v>
      </c>
      <c r="C21" s="7" t="s">
        <v>444</v>
      </c>
      <c r="D21" s="36" t="s">
        <v>433</v>
      </c>
      <c r="E21" s="7" t="s">
        <v>175</v>
      </c>
    </row>
    <row r="22" customFormat="false" ht="17.35" hidden="false" customHeight="false" outlineLevel="0" collapsed="false">
      <c r="A22" s="33"/>
      <c r="B22" s="34" t="s">
        <v>445</v>
      </c>
      <c r="C22" s="5" t="s">
        <v>446</v>
      </c>
      <c r="D22" s="34" t="s">
        <v>433</v>
      </c>
      <c r="E22" s="5" t="s">
        <v>175</v>
      </c>
    </row>
    <row r="23" customFormat="false" ht="17.35" hidden="false" customHeight="false" outlineLevel="0" collapsed="false">
      <c r="A23" s="35"/>
      <c r="B23" s="36" t="s">
        <v>447</v>
      </c>
      <c r="C23" s="7" t="s">
        <v>448</v>
      </c>
      <c r="D23" s="36" t="s">
        <v>433</v>
      </c>
      <c r="E23" s="7" t="s">
        <v>175</v>
      </c>
    </row>
    <row r="24" customFormat="false" ht="17.35" hidden="false" customHeight="false" outlineLevel="0" collapsed="false">
      <c r="A24" s="33"/>
      <c r="B24" s="34" t="s">
        <v>449</v>
      </c>
      <c r="C24" s="5" t="s">
        <v>450</v>
      </c>
      <c r="D24" s="34" t="s">
        <v>433</v>
      </c>
      <c r="E24" s="5" t="s">
        <v>451</v>
      </c>
    </row>
    <row r="25" customFormat="false" ht="17.35" hidden="false" customHeight="false" outlineLevel="0" collapsed="false">
      <c r="A25" s="35"/>
      <c r="B25" s="36" t="s">
        <v>452</v>
      </c>
      <c r="C25" s="7" t="s">
        <v>453</v>
      </c>
      <c r="D25" s="36" t="s">
        <v>433</v>
      </c>
      <c r="E25" s="7" t="s">
        <v>454</v>
      </c>
    </row>
    <row r="26" customFormat="false" ht="17.35" hidden="false" customHeight="false" outlineLevel="0" collapsed="false">
      <c r="A26" s="33"/>
      <c r="B26" s="34" t="s">
        <v>455</v>
      </c>
      <c r="C26" s="5" t="s">
        <v>456</v>
      </c>
      <c r="D26" s="34" t="s">
        <v>433</v>
      </c>
      <c r="E26" s="5" t="s">
        <v>457</v>
      </c>
    </row>
    <row r="27" customFormat="false" ht="17.35" hidden="false" customHeight="false" outlineLevel="0" collapsed="false">
      <c r="A27" s="35"/>
      <c r="B27" s="36" t="s">
        <v>458</v>
      </c>
      <c r="C27" s="7" t="s">
        <v>459</v>
      </c>
      <c r="D27" s="36" t="s">
        <v>460</v>
      </c>
      <c r="E27" s="7" t="s">
        <v>461</v>
      </c>
    </row>
    <row r="28" customFormat="false" ht="17.35" hidden="false" customHeight="false" outlineLevel="0" collapsed="false">
      <c r="A28" s="33"/>
      <c r="B28" s="34" t="s">
        <v>462</v>
      </c>
      <c r="C28" s="5" t="s">
        <v>463</v>
      </c>
      <c r="D28" s="34" t="s">
        <v>460</v>
      </c>
      <c r="E28" s="5" t="s">
        <v>267</v>
      </c>
    </row>
    <row r="29" customFormat="false" ht="17.35" hidden="false" customHeight="false" outlineLevel="0" collapsed="false">
      <c r="A29" s="35"/>
      <c r="B29" s="36" t="s">
        <v>464</v>
      </c>
      <c r="C29" s="7" t="s">
        <v>465</v>
      </c>
      <c r="D29" s="36" t="s">
        <v>466</v>
      </c>
      <c r="E29" s="7" t="s">
        <v>467</v>
      </c>
    </row>
    <row r="30" customFormat="false" ht="17.35" hidden="false" customHeight="false" outlineLevel="0" collapsed="false">
      <c r="A30" s="33"/>
      <c r="B30" s="34" t="s">
        <v>468</v>
      </c>
      <c r="C30" s="5" t="s">
        <v>469</v>
      </c>
      <c r="D30" s="34" t="s">
        <v>470</v>
      </c>
      <c r="E30" s="5" t="s">
        <v>471</v>
      </c>
    </row>
    <row r="31" customFormat="false" ht="17.35" hidden="false" customHeight="false" outlineLevel="0" collapsed="false">
      <c r="A31" s="35"/>
      <c r="B31" s="36" t="s">
        <v>472</v>
      </c>
      <c r="C31" s="7" t="s">
        <v>473</v>
      </c>
      <c r="D31" s="36" t="s">
        <v>470</v>
      </c>
      <c r="E31" s="7" t="s">
        <v>474</v>
      </c>
    </row>
    <row r="32" customFormat="false" ht="17.35" hidden="false" customHeight="false" outlineLevel="0" collapsed="false">
      <c r="A32" s="33"/>
      <c r="B32" s="34" t="s">
        <v>475</v>
      </c>
      <c r="C32" s="5" t="s">
        <v>476</v>
      </c>
      <c r="D32" s="34" t="s">
        <v>470</v>
      </c>
      <c r="E32" s="5" t="s">
        <v>477</v>
      </c>
    </row>
    <row r="33" customFormat="false" ht="17.35" hidden="false" customHeight="false" outlineLevel="0" collapsed="false">
      <c r="A33" s="35"/>
      <c r="B33" s="36" t="s">
        <v>478</v>
      </c>
      <c r="C33" s="7" t="s">
        <v>479</v>
      </c>
      <c r="D33" s="36" t="s">
        <v>470</v>
      </c>
      <c r="E33" s="7" t="s">
        <v>239</v>
      </c>
    </row>
    <row r="34" customFormat="false" ht="17.35" hidden="false" customHeight="false" outlineLevel="0" collapsed="false">
      <c r="A34" s="33"/>
      <c r="B34" s="34" t="s">
        <v>480</v>
      </c>
      <c r="C34" s="5" t="s">
        <v>481</v>
      </c>
      <c r="D34" s="34" t="s">
        <v>482</v>
      </c>
      <c r="E34" s="5" t="s">
        <v>246</v>
      </c>
    </row>
    <row r="35" customFormat="false" ht="17.35" hidden="false" customHeight="false" outlineLevel="0" collapsed="false">
      <c r="A35" s="35"/>
      <c r="B35" s="36" t="s">
        <v>483</v>
      </c>
      <c r="C35" s="7" t="s">
        <v>484</v>
      </c>
      <c r="D35" s="36" t="s">
        <v>482</v>
      </c>
      <c r="E35" s="7" t="s">
        <v>252</v>
      </c>
    </row>
    <row r="36" customFormat="false" ht="17.35" hidden="false" customHeight="false" outlineLevel="0" collapsed="false">
      <c r="A36" s="33"/>
      <c r="B36" s="34" t="s">
        <v>485</v>
      </c>
      <c r="C36" s="5" t="s">
        <v>486</v>
      </c>
      <c r="D36" s="34" t="s">
        <v>482</v>
      </c>
      <c r="E36" s="5" t="s">
        <v>257</v>
      </c>
    </row>
    <row r="37" customFormat="false" ht="17.35" hidden="false" customHeight="false" outlineLevel="0" collapsed="false">
      <c r="A37" s="35"/>
      <c r="B37" s="36" t="s">
        <v>487</v>
      </c>
      <c r="C37" s="7" t="s">
        <v>488</v>
      </c>
      <c r="D37" s="36" t="s">
        <v>482</v>
      </c>
      <c r="E37" s="7" t="s">
        <v>239</v>
      </c>
    </row>
    <row r="38" customFormat="false" ht="17.35" hidden="false" customHeight="false" outlineLevel="0" collapsed="false">
      <c r="A38" s="33"/>
      <c r="B38" s="34" t="s">
        <v>489</v>
      </c>
      <c r="C38" s="5" t="s">
        <v>490</v>
      </c>
      <c r="D38" s="34" t="s">
        <v>482</v>
      </c>
      <c r="E38" s="5" t="s">
        <v>491</v>
      </c>
    </row>
    <row r="39" customFormat="false" ht="17.35" hidden="false" customHeight="false" outlineLevel="0" collapsed="false">
      <c r="A39" s="35"/>
      <c r="B39" s="36" t="s">
        <v>492</v>
      </c>
      <c r="C39" s="7" t="s">
        <v>493</v>
      </c>
      <c r="D39" s="36" t="s">
        <v>482</v>
      </c>
      <c r="E39" s="7" t="s">
        <v>360</v>
      </c>
    </row>
    <row r="40" customFormat="false" ht="17.35" hidden="false" customHeight="false" outlineLevel="0" collapsed="false">
      <c r="A40" s="33"/>
      <c r="B40" s="34" t="s">
        <v>494</v>
      </c>
      <c r="C40" s="5" t="s">
        <v>359</v>
      </c>
      <c r="D40" s="34" t="s">
        <v>495</v>
      </c>
      <c r="E40" s="5" t="s">
        <v>353</v>
      </c>
    </row>
    <row r="41" customFormat="false" ht="17.35" hidden="false" customHeight="false" outlineLevel="0" collapsed="false">
      <c r="A41" s="35"/>
      <c r="B41" s="36" t="s">
        <v>496</v>
      </c>
      <c r="C41" s="7" t="s">
        <v>497</v>
      </c>
      <c r="D41" s="36" t="s">
        <v>495</v>
      </c>
      <c r="E41" s="7" t="s">
        <v>318</v>
      </c>
    </row>
    <row r="42" customFormat="false" ht="23.85" hidden="false" customHeight="false" outlineLevel="0" collapsed="false">
      <c r="A42" s="33"/>
      <c r="B42" s="34" t="s">
        <v>498</v>
      </c>
      <c r="C42" s="5" t="s">
        <v>499</v>
      </c>
      <c r="D42" s="34" t="s">
        <v>495</v>
      </c>
      <c r="E42" s="5" t="s">
        <v>500</v>
      </c>
    </row>
    <row r="43" customFormat="false" ht="17.35" hidden="false" customHeight="false" outlineLevel="0" collapsed="false">
      <c r="A43" s="35"/>
      <c r="B43" s="36" t="s">
        <v>501</v>
      </c>
      <c r="C43" s="7" t="s">
        <v>502</v>
      </c>
      <c r="D43" s="36" t="s">
        <v>482</v>
      </c>
      <c r="E43" s="7" t="s">
        <v>348</v>
      </c>
    </row>
    <row r="44" customFormat="false" ht="17.35" hidden="false" customHeight="false" outlineLevel="0" collapsed="false">
      <c r="A44" s="33"/>
      <c r="B44" s="34" t="s">
        <v>503</v>
      </c>
      <c r="C44" s="5" t="s">
        <v>504</v>
      </c>
      <c r="D44" s="34" t="s">
        <v>495</v>
      </c>
      <c r="E44" s="5" t="s">
        <v>505</v>
      </c>
    </row>
    <row r="45" customFormat="false" ht="17.35" hidden="false" customHeight="false" outlineLevel="0" collapsed="false">
      <c r="A45" s="35"/>
      <c r="B45" s="36" t="s">
        <v>506</v>
      </c>
      <c r="C45" s="7" t="s">
        <v>507</v>
      </c>
      <c r="D45" s="36" t="s">
        <v>495</v>
      </c>
      <c r="E45" s="7" t="s">
        <v>508</v>
      </c>
    </row>
    <row r="46" customFormat="false" ht="17.35" hidden="false" customHeight="false" outlineLevel="0" collapsed="false">
      <c r="A46" s="33"/>
      <c r="B46" s="34" t="s">
        <v>509</v>
      </c>
      <c r="C46" s="5" t="s">
        <v>510</v>
      </c>
      <c r="D46" s="34" t="s">
        <v>511</v>
      </c>
      <c r="E46" s="5" t="s">
        <v>512</v>
      </c>
    </row>
    <row r="47" customFormat="false" ht="17.35" hidden="false" customHeight="false" outlineLevel="0" collapsed="false">
      <c r="A47" s="35"/>
      <c r="B47" s="36" t="s">
        <v>513</v>
      </c>
      <c r="C47" s="7" t="s">
        <v>514</v>
      </c>
      <c r="D47" s="36" t="s">
        <v>511</v>
      </c>
      <c r="E47" s="7" t="s">
        <v>515</v>
      </c>
    </row>
    <row r="48" customFormat="false" ht="17.35" hidden="false" customHeight="false" outlineLevel="0" collapsed="false">
      <c r="A48" s="33"/>
      <c r="B48" s="34" t="s">
        <v>516</v>
      </c>
      <c r="C48" s="5" t="s">
        <v>517</v>
      </c>
      <c r="D48" s="34" t="s">
        <v>511</v>
      </c>
      <c r="E48" s="5" t="s">
        <v>454</v>
      </c>
    </row>
  </sheetData>
  <autoFilter ref="A1:E48"/>
  <conditionalFormatting sqref="A2:E48">
    <cfRule type="expression" priority="2" aboveAverage="0" equalAverage="0" bottom="0" percent="0" rank="0" text="" dxfId="8">
      <formula>$A2="✓"</formula>
    </cfRule>
  </conditionalFormatting>
  <dataValidations count="1">
    <dataValidation allowBlank="true" errorStyle="stop" operator="between" prompt="Select ✓ when done" promptTitle="Mark complete" showDropDown="false" showErrorMessage="false" showInputMessage="false" sqref="A2:A48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23" t="s">
        <v>518</v>
      </c>
      <c r="B1" s="23" t="s">
        <v>519</v>
      </c>
      <c r="C1" s="23" t="s">
        <v>520</v>
      </c>
      <c r="D1" s="23" t="s">
        <v>521</v>
      </c>
      <c r="E1" s="23" t="s">
        <v>522</v>
      </c>
      <c r="F1" s="23" t="s">
        <v>61</v>
      </c>
      <c r="G1" s="23" t="s">
        <v>523</v>
      </c>
      <c r="H1" s="23" t="s">
        <v>524</v>
      </c>
      <c r="I1" s="23" t="s">
        <v>75</v>
      </c>
    </row>
    <row r="2" customFormat="false" ht="15" hidden="false" customHeight="false" outlineLevel="0" collapsed="false">
      <c r="A2" s="37" t="s">
        <v>47</v>
      </c>
      <c r="B2" s="37" t="s">
        <v>525</v>
      </c>
      <c r="C2" s="38" t="s">
        <v>526</v>
      </c>
      <c r="D2" s="38"/>
      <c r="E2" s="37"/>
      <c r="F2" s="37" t="s">
        <v>62</v>
      </c>
      <c r="G2" s="37"/>
      <c r="H2" s="38" t="s">
        <v>527</v>
      </c>
      <c r="I2" s="37" t="s">
        <v>528</v>
      </c>
    </row>
    <row r="3" customFormat="false" ht="15" hidden="false" customHeight="false" outlineLevel="0" collapsed="false">
      <c r="A3" s="37" t="s">
        <v>47</v>
      </c>
      <c r="B3" s="37" t="s">
        <v>529</v>
      </c>
      <c r="C3" s="38" t="s">
        <v>530</v>
      </c>
      <c r="D3" s="38"/>
      <c r="E3" s="37"/>
      <c r="F3" s="37" t="s">
        <v>62</v>
      </c>
      <c r="G3" s="37"/>
      <c r="H3" s="38" t="s">
        <v>527</v>
      </c>
      <c r="I3" s="37" t="s">
        <v>528</v>
      </c>
    </row>
    <row r="4" customFormat="false" ht="15" hidden="false" customHeight="false" outlineLevel="0" collapsed="false">
      <c r="A4" s="37" t="s">
        <v>47</v>
      </c>
      <c r="B4" s="37" t="s">
        <v>531</v>
      </c>
      <c r="C4" s="38" t="s">
        <v>532</v>
      </c>
      <c r="D4" s="38"/>
      <c r="E4" s="37"/>
      <c r="F4" s="37" t="s">
        <v>62</v>
      </c>
      <c r="G4" s="37"/>
      <c r="H4" s="38" t="s">
        <v>527</v>
      </c>
      <c r="I4" s="37" t="s">
        <v>528</v>
      </c>
    </row>
    <row r="5" customFormat="false" ht="15" hidden="false" customHeight="false" outlineLevel="0" collapsed="false">
      <c r="A5" s="37" t="s">
        <v>47</v>
      </c>
      <c r="B5" s="37" t="s">
        <v>533</v>
      </c>
      <c r="C5" s="38" t="s">
        <v>534</v>
      </c>
      <c r="D5" s="38"/>
      <c r="E5" s="37"/>
      <c r="F5" s="37" t="s">
        <v>62</v>
      </c>
      <c r="G5" s="37"/>
      <c r="H5" s="38" t="s">
        <v>527</v>
      </c>
      <c r="I5" s="37" t="s">
        <v>528</v>
      </c>
    </row>
    <row r="6" customFormat="false" ht="15" hidden="false" customHeight="false" outlineLevel="0" collapsed="false">
      <c r="A6" s="37" t="s">
        <v>47</v>
      </c>
      <c r="B6" s="37" t="s">
        <v>535</v>
      </c>
      <c r="C6" s="38" t="s">
        <v>536</v>
      </c>
      <c r="D6" s="38"/>
      <c r="E6" s="37"/>
      <c r="F6" s="37" t="s">
        <v>62</v>
      </c>
      <c r="G6" s="37"/>
      <c r="H6" s="38" t="s">
        <v>527</v>
      </c>
      <c r="I6" s="37" t="s">
        <v>528</v>
      </c>
    </row>
    <row r="7" customFormat="false" ht="15" hidden="false" customHeight="false" outlineLevel="0" collapsed="false">
      <c r="A7" s="37" t="s">
        <v>47</v>
      </c>
      <c r="B7" s="37" t="s">
        <v>537</v>
      </c>
      <c r="C7" s="38" t="s">
        <v>538</v>
      </c>
      <c r="D7" s="38"/>
      <c r="E7" s="37"/>
      <c r="F7" s="37" t="s">
        <v>62</v>
      </c>
      <c r="G7" s="37"/>
      <c r="H7" s="38" t="s">
        <v>527</v>
      </c>
      <c r="I7" s="37" t="s">
        <v>528</v>
      </c>
    </row>
    <row r="8" customFormat="false" ht="15" hidden="false" customHeight="false" outlineLevel="0" collapsed="false">
      <c r="A8" s="37" t="s">
        <v>47</v>
      </c>
      <c r="B8" s="37" t="s">
        <v>539</v>
      </c>
      <c r="C8" s="38" t="s">
        <v>540</v>
      </c>
      <c r="D8" s="38"/>
      <c r="E8" s="37"/>
      <c r="F8" s="37" t="s">
        <v>62</v>
      </c>
      <c r="G8" s="37"/>
      <c r="H8" s="38" t="s">
        <v>527</v>
      </c>
      <c r="I8" s="37" t="s">
        <v>528</v>
      </c>
    </row>
    <row r="9" customFormat="false" ht="15" hidden="false" customHeight="false" outlineLevel="0" collapsed="false">
      <c r="A9" s="37" t="s">
        <v>47</v>
      </c>
      <c r="B9" s="37" t="s">
        <v>541</v>
      </c>
      <c r="C9" s="38" t="s">
        <v>542</v>
      </c>
      <c r="D9" s="38"/>
      <c r="E9" s="37"/>
      <c r="F9" s="37" t="s">
        <v>62</v>
      </c>
      <c r="G9" s="37"/>
      <c r="H9" s="38" t="s">
        <v>527</v>
      </c>
      <c r="I9" s="37" t="s">
        <v>528</v>
      </c>
    </row>
    <row r="10" customFormat="false" ht="15" hidden="false" customHeight="false" outlineLevel="0" collapsed="false">
      <c r="A10" s="37" t="s">
        <v>47</v>
      </c>
      <c r="B10" s="37" t="s">
        <v>543</v>
      </c>
      <c r="C10" s="38" t="s">
        <v>544</v>
      </c>
      <c r="D10" s="38"/>
      <c r="E10" s="37"/>
      <c r="F10" s="37" t="s">
        <v>62</v>
      </c>
      <c r="G10" s="37"/>
      <c r="H10" s="38" t="s">
        <v>527</v>
      </c>
      <c r="I10" s="37" t="s">
        <v>528</v>
      </c>
    </row>
    <row r="11" customFormat="false" ht="15" hidden="false" customHeight="false" outlineLevel="0" collapsed="false">
      <c r="A11" s="36" t="s">
        <v>545</v>
      </c>
      <c r="B11" s="36" t="s">
        <v>546</v>
      </c>
      <c r="C11" s="7" t="s">
        <v>547</v>
      </c>
      <c r="D11" s="7" t="s">
        <v>525</v>
      </c>
      <c r="E11" s="36" t="n">
        <v>2</v>
      </c>
      <c r="F11" s="39" t="s">
        <v>62</v>
      </c>
      <c r="G11" s="36" t="s">
        <v>548</v>
      </c>
      <c r="H11" s="7" t="s">
        <v>549</v>
      </c>
      <c r="I11" s="36" t="s">
        <v>528</v>
      </c>
    </row>
    <row r="12" customFormat="false" ht="15" hidden="false" customHeight="false" outlineLevel="0" collapsed="false">
      <c r="A12" s="34" t="s">
        <v>545</v>
      </c>
      <c r="B12" s="34" t="s">
        <v>550</v>
      </c>
      <c r="C12" s="5" t="s">
        <v>551</v>
      </c>
      <c r="D12" s="5" t="s">
        <v>525</v>
      </c>
      <c r="E12" s="34" t="n">
        <v>1</v>
      </c>
      <c r="F12" s="39" t="s">
        <v>62</v>
      </c>
      <c r="G12" s="34" t="s">
        <v>548</v>
      </c>
      <c r="H12" s="5" t="s">
        <v>549</v>
      </c>
      <c r="I12" s="34" t="s">
        <v>528</v>
      </c>
    </row>
    <row r="13" customFormat="false" ht="15" hidden="false" customHeight="false" outlineLevel="0" collapsed="false">
      <c r="A13" s="36" t="s">
        <v>545</v>
      </c>
      <c r="B13" s="36" t="s">
        <v>552</v>
      </c>
      <c r="C13" s="7" t="s">
        <v>553</v>
      </c>
      <c r="D13" s="7" t="s">
        <v>525</v>
      </c>
      <c r="E13" s="36" t="n">
        <v>2</v>
      </c>
      <c r="F13" s="39" t="s">
        <v>62</v>
      </c>
      <c r="G13" s="36" t="s">
        <v>548</v>
      </c>
      <c r="H13" s="7" t="s">
        <v>554</v>
      </c>
      <c r="I13" s="36" t="s">
        <v>528</v>
      </c>
    </row>
    <row r="14" customFormat="false" ht="15" hidden="false" customHeight="false" outlineLevel="0" collapsed="false">
      <c r="A14" s="34" t="s">
        <v>545</v>
      </c>
      <c r="B14" s="34" t="s">
        <v>555</v>
      </c>
      <c r="C14" s="5" t="s">
        <v>556</v>
      </c>
      <c r="D14" s="5" t="s">
        <v>525</v>
      </c>
      <c r="E14" s="34" t="n">
        <v>1</v>
      </c>
      <c r="F14" s="40" t="s">
        <v>64</v>
      </c>
      <c r="G14" s="34" t="s">
        <v>548</v>
      </c>
      <c r="H14" s="5" t="s">
        <v>557</v>
      </c>
      <c r="I14" s="34" t="s">
        <v>528</v>
      </c>
    </row>
    <row r="15" customFormat="false" ht="15" hidden="false" customHeight="false" outlineLevel="0" collapsed="false">
      <c r="A15" s="36" t="s">
        <v>545</v>
      </c>
      <c r="B15" s="36" t="s">
        <v>558</v>
      </c>
      <c r="C15" s="7" t="s">
        <v>559</v>
      </c>
      <c r="D15" s="7" t="s">
        <v>525</v>
      </c>
      <c r="E15" s="36" t="n">
        <v>1</v>
      </c>
      <c r="F15" s="40" t="s">
        <v>64</v>
      </c>
      <c r="G15" s="36" t="s">
        <v>548</v>
      </c>
      <c r="H15" s="7" t="s">
        <v>557</v>
      </c>
      <c r="I15" s="36" t="s">
        <v>528</v>
      </c>
    </row>
    <row r="16" customFormat="false" ht="15" hidden="false" customHeight="false" outlineLevel="0" collapsed="false">
      <c r="A16" s="34" t="s">
        <v>545</v>
      </c>
      <c r="B16" s="34" t="s">
        <v>560</v>
      </c>
      <c r="C16" s="5" t="s">
        <v>561</v>
      </c>
      <c r="D16" s="5" t="s">
        <v>529</v>
      </c>
      <c r="E16" s="34" t="n">
        <v>3</v>
      </c>
      <c r="F16" s="39" t="s">
        <v>62</v>
      </c>
      <c r="G16" s="34" t="s">
        <v>548</v>
      </c>
      <c r="H16" s="5" t="s">
        <v>562</v>
      </c>
      <c r="I16" s="34" t="s">
        <v>528</v>
      </c>
    </row>
    <row r="17" customFormat="false" ht="15" hidden="false" customHeight="false" outlineLevel="0" collapsed="false">
      <c r="A17" s="36" t="s">
        <v>545</v>
      </c>
      <c r="B17" s="36" t="s">
        <v>563</v>
      </c>
      <c r="C17" s="7" t="s">
        <v>564</v>
      </c>
      <c r="D17" s="7" t="s">
        <v>529</v>
      </c>
      <c r="E17" s="36" t="n">
        <v>2</v>
      </c>
      <c r="F17" s="39" t="s">
        <v>62</v>
      </c>
      <c r="G17" s="36" t="s">
        <v>548</v>
      </c>
      <c r="H17" s="7" t="s">
        <v>562</v>
      </c>
      <c r="I17" s="36" t="s">
        <v>528</v>
      </c>
    </row>
    <row r="18" customFormat="false" ht="15" hidden="false" customHeight="false" outlineLevel="0" collapsed="false">
      <c r="A18" s="34" t="s">
        <v>545</v>
      </c>
      <c r="B18" s="34" t="s">
        <v>565</v>
      </c>
      <c r="C18" s="5" t="s">
        <v>566</v>
      </c>
      <c r="D18" s="5" t="s">
        <v>529</v>
      </c>
      <c r="E18" s="34" t="n">
        <v>1</v>
      </c>
      <c r="F18" s="41" t="s">
        <v>63</v>
      </c>
      <c r="G18" s="34" t="s">
        <v>548</v>
      </c>
      <c r="H18" s="5" t="s">
        <v>562</v>
      </c>
      <c r="I18" s="34" t="s">
        <v>528</v>
      </c>
    </row>
    <row r="19" customFormat="false" ht="15" hidden="false" customHeight="false" outlineLevel="0" collapsed="false">
      <c r="A19" s="36" t="s">
        <v>545</v>
      </c>
      <c r="B19" s="36" t="s">
        <v>567</v>
      </c>
      <c r="C19" s="7" t="s">
        <v>568</v>
      </c>
      <c r="D19" s="7" t="s">
        <v>529</v>
      </c>
      <c r="E19" s="36" t="n">
        <v>3</v>
      </c>
      <c r="F19" s="39" t="s">
        <v>62</v>
      </c>
      <c r="G19" s="36" t="s">
        <v>548</v>
      </c>
      <c r="H19" s="7" t="s">
        <v>562</v>
      </c>
      <c r="I19" s="36" t="s">
        <v>528</v>
      </c>
    </row>
    <row r="20" customFormat="false" ht="15" hidden="false" customHeight="false" outlineLevel="0" collapsed="false">
      <c r="A20" s="34" t="s">
        <v>545</v>
      </c>
      <c r="B20" s="34" t="s">
        <v>569</v>
      </c>
      <c r="C20" s="5" t="s">
        <v>570</v>
      </c>
      <c r="D20" s="5" t="s">
        <v>529</v>
      </c>
      <c r="E20" s="34" t="n">
        <v>5</v>
      </c>
      <c r="F20" s="39" t="s">
        <v>62</v>
      </c>
      <c r="G20" s="34" t="s">
        <v>548</v>
      </c>
      <c r="H20" s="5" t="s">
        <v>562</v>
      </c>
      <c r="I20" s="34" t="s">
        <v>528</v>
      </c>
    </row>
    <row r="21" customFormat="false" ht="15" hidden="false" customHeight="false" outlineLevel="0" collapsed="false">
      <c r="A21" s="36" t="s">
        <v>545</v>
      </c>
      <c r="B21" s="36" t="s">
        <v>571</v>
      </c>
      <c r="C21" s="7" t="s">
        <v>572</v>
      </c>
      <c r="D21" s="7" t="s">
        <v>529</v>
      </c>
      <c r="E21" s="36" t="n">
        <v>2</v>
      </c>
      <c r="F21" s="39" t="s">
        <v>62</v>
      </c>
      <c r="G21" s="36" t="s">
        <v>548</v>
      </c>
      <c r="H21" s="7" t="s">
        <v>562</v>
      </c>
      <c r="I21" s="36" t="s">
        <v>528</v>
      </c>
    </row>
    <row r="22" customFormat="false" ht="15" hidden="false" customHeight="false" outlineLevel="0" collapsed="false">
      <c r="A22" s="34" t="s">
        <v>545</v>
      </c>
      <c r="B22" s="34" t="s">
        <v>573</v>
      </c>
      <c r="C22" s="5" t="s">
        <v>574</v>
      </c>
      <c r="D22" s="5" t="s">
        <v>529</v>
      </c>
      <c r="E22" s="34" t="n">
        <v>3</v>
      </c>
      <c r="F22" s="39" t="s">
        <v>62</v>
      </c>
      <c r="G22" s="34" t="s">
        <v>548</v>
      </c>
      <c r="H22" s="5" t="s">
        <v>562</v>
      </c>
      <c r="I22" s="34" t="s">
        <v>528</v>
      </c>
    </row>
    <row r="23" customFormat="false" ht="15" hidden="false" customHeight="false" outlineLevel="0" collapsed="false">
      <c r="A23" s="36" t="s">
        <v>545</v>
      </c>
      <c r="B23" s="36" t="s">
        <v>575</v>
      </c>
      <c r="C23" s="7" t="s">
        <v>576</v>
      </c>
      <c r="D23" s="7" t="s">
        <v>529</v>
      </c>
      <c r="E23" s="36" t="n">
        <v>3</v>
      </c>
      <c r="F23" s="39" t="s">
        <v>62</v>
      </c>
      <c r="G23" s="36" t="s">
        <v>548</v>
      </c>
      <c r="H23" s="7" t="s">
        <v>554</v>
      </c>
      <c r="I23" s="36" t="s">
        <v>528</v>
      </c>
    </row>
    <row r="24" customFormat="false" ht="15" hidden="false" customHeight="false" outlineLevel="0" collapsed="false">
      <c r="A24" s="34" t="s">
        <v>545</v>
      </c>
      <c r="B24" s="34" t="s">
        <v>577</v>
      </c>
      <c r="C24" s="5" t="s">
        <v>578</v>
      </c>
      <c r="D24" s="5" t="s">
        <v>531</v>
      </c>
      <c r="E24" s="34" t="n">
        <v>3</v>
      </c>
      <c r="F24" s="39" t="s">
        <v>62</v>
      </c>
      <c r="G24" s="34" t="s">
        <v>579</v>
      </c>
      <c r="H24" s="5" t="s">
        <v>580</v>
      </c>
      <c r="I24" s="34" t="s">
        <v>528</v>
      </c>
    </row>
    <row r="25" customFormat="false" ht="15" hidden="false" customHeight="false" outlineLevel="0" collapsed="false">
      <c r="A25" s="36" t="s">
        <v>545</v>
      </c>
      <c r="B25" s="36" t="s">
        <v>581</v>
      </c>
      <c r="C25" s="7" t="s">
        <v>582</v>
      </c>
      <c r="D25" s="7" t="s">
        <v>531</v>
      </c>
      <c r="E25" s="36" t="n">
        <v>5</v>
      </c>
      <c r="F25" s="39" t="s">
        <v>62</v>
      </c>
      <c r="G25" s="36" t="s">
        <v>579</v>
      </c>
      <c r="H25" s="7" t="s">
        <v>580</v>
      </c>
      <c r="I25" s="36" t="s">
        <v>528</v>
      </c>
    </row>
    <row r="26" customFormat="false" ht="15" hidden="false" customHeight="false" outlineLevel="0" collapsed="false">
      <c r="A26" s="34" t="s">
        <v>545</v>
      </c>
      <c r="B26" s="34" t="s">
        <v>583</v>
      </c>
      <c r="C26" s="5" t="s">
        <v>584</v>
      </c>
      <c r="D26" s="5" t="s">
        <v>531</v>
      </c>
      <c r="E26" s="34" t="n">
        <v>5</v>
      </c>
      <c r="F26" s="39" t="s">
        <v>62</v>
      </c>
      <c r="G26" s="34" t="s">
        <v>579</v>
      </c>
      <c r="H26" s="5" t="s">
        <v>554</v>
      </c>
      <c r="I26" s="34" t="s">
        <v>528</v>
      </c>
    </row>
    <row r="27" customFormat="false" ht="15" hidden="false" customHeight="false" outlineLevel="0" collapsed="false">
      <c r="A27" s="36" t="s">
        <v>545</v>
      </c>
      <c r="B27" s="36" t="s">
        <v>585</v>
      </c>
      <c r="C27" s="7" t="s">
        <v>586</v>
      </c>
      <c r="D27" s="7" t="s">
        <v>531</v>
      </c>
      <c r="E27" s="36" t="n">
        <v>5</v>
      </c>
      <c r="F27" s="39" t="s">
        <v>62</v>
      </c>
      <c r="G27" s="36" t="s">
        <v>579</v>
      </c>
      <c r="H27" s="7" t="s">
        <v>580</v>
      </c>
      <c r="I27" s="36" t="s">
        <v>528</v>
      </c>
    </row>
    <row r="28" customFormat="false" ht="15" hidden="false" customHeight="false" outlineLevel="0" collapsed="false">
      <c r="A28" s="34" t="s">
        <v>545</v>
      </c>
      <c r="B28" s="34" t="s">
        <v>587</v>
      </c>
      <c r="C28" s="5" t="s">
        <v>588</v>
      </c>
      <c r="D28" s="5" t="s">
        <v>531</v>
      </c>
      <c r="E28" s="34" t="n">
        <v>5</v>
      </c>
      <c r="F28" s="39" t="s">
        <v>62</v>
      </c>
      <c r="G28" s="34" t="s">
        <v>579</v>
      </c>
      <c r="H28" s="5" t="s">
        <v>580</v>
      </c>
      <c r="I28" s="34" t="s">
        <v>528</v>
      </c>
    </row>
    <row r="29" customFormat="false" ht="15" hidden="false" customHeight="false" outlineLevel="0" collapsed="false">
      <c r="A29" s="36" t="s">
        <v>545</v>
      </c>
      <c r="B29" s="36" t="s">
        <v>589</v>
      </c>
      <c r="C29" s="7" t="s">
        <v>590</v>
      </c>
      <c r="D29" s="7" t="s">
        <v>531</v>
      </c>
      <c r="E29" s="36" t="n">
        <v>3</v>
      </c>
      <c r="F29" s="39" t="s">
        <v>62</v>
      </c>
      <c r="G29" s="36" t="s">
        <v>579</v>
      </c>
      <c r="H29" s="7" t="s">
        <v>580</v>
      </c>
      <c r="I29" s="36" t="s">
        <v>528</v>
      </c>
    </row>
    <row r="30" customFormat="false" ht="15" hidden="false" customHeight="false" outlineLevel="0" collapsed="false">
      <c r="A30" s="34" t="s">
        <v>545</v>
      </c>
      <c r="B30" s="34" t="s">
        <v>591</v>
      </c>
      <c r="C30" s="5" t="s">
        <v>592</v>
      </c>
      <c r="D30" s="5" t="s">
        <v>531</v>
      </c>
      <c r="E30" s="34" t="n">
        <v>5</v>
      </c>
      <c r="F30" s="39" t="s">
        <v>62</v>
      </c>
      <c r="G30" s="34" t="s">
        <v>579</v>
      </c>
      <c r="H30" s="5" t="s">
        <v>580</v>
      </c>
      <c r="I30" s="34" t="s">
        <v>528</v>
      </c>
    </row>
    <row r="31" customFormat="false" ht="15" hidden="false" customHeight="false" outlineLevel="0" collapsed="false">
      <c r="A31" s="36" t="s">
        <v>545</v>
      </c>
      <c r="B31" s="36" t="s">
        <v>593</v>
      </c>
      <c r="C31" s="7" t="s">
        <v>594</v>
      </c>
      <c r="D31" s="7" t="s">
        <v>531</v>
      </c>
      <c r="E31" s="36" t="n">
        <v>8</v>
      </c>
      <c r="F31" s="39" t="s">
        <v>62</v>
      </c>
      <c r="G31" s="36" t="s">
        <v>579</v>
      </c>
      <c r="H31" s="7" t="s">
        <v>580</v>
      </c>
      <c r="I31" s="36" t="s">
        <v>528</v>
      </c>
    </row>
    <row r="32" customFormat="false" ht="15" hidden="false" customHeight="false" outlineLevel="0" collapsed="false">
      <c r="A32" s="34" t="s">
        <v>545</v>
      </c>
      <c r="B32" s="34" t="s">
        <v>595</v>
      </c>
      <c r="C32" s="5" t="s">
        <v>596</v>
      </c>
      <c r="D32" s="5" t="s">
        <v>531</v>
      </c>
      <c r="E32" s="34" t="n">
        <v>3</v>
      </c>
      <c r="F32" s="39" t="s">
        <v>62</v>
      </c>
      <c r="G32" s="34" t="s">
        <v>579</v>
      </c>
      <c r="H32" s="5" t="s">
        <v>580</v>
      </c>
      <c r="I32" s="34" t="s">
        <v>528</v>
      </c>
    </row>
    <row r="33" customFormat="false" ht="15" hidden="false" customHeight="false" outlineLevel="0" collapsed="false">
      <c r="A33" s="36" t="s">
        <v>545</v>
      </c>
      <c r="B33" s="36" t="s">
        <v>597</v>
      </c>
      <c r="C33" s="7" t="s">
        <v>598</v>
      </c>
      <c r="D33" s="7" t="s">
        <v>531</v>
      </c>
      <c r="E33" s="36" t="n">
        <v>2</v>
      </c>
      <c r="F33" s="41" t="s">
        <v>63</v>
      </c>
      <c r="G33" s="36" t="s">
        <v>579</v>
      </c>
      <c r="H33" s="7" t="s">
        <v>580</v>
      </c>
      <c r="I33" s="36" t="s">
        <v>528</v>
      </c>
    </row>
    <row r="34" customFormat="false" ht="15" hidden="false" customHeight="false" outlineLevel="0" collapsed="false">
      <c r="A34" s="34" t="s">
        <v>545</v>
      </c>
      <c r="B34" s="34" t="s">
        <v>599</v>
      </c>
      <c r="C34" s="5" t="s">
        <v>600</v>
      </c>
      <c r="D34" s="5" t="s">
        <v>531</v>
      </c>
      <c r="E34" s="34" t="n">
        <v>3</v>
      </c>
      <c r="F34" s="39" t="s">
        <v>62</v>
      </c>
      <c r="G34" s="34" t="s">
        <v>579</v>
      </c>
      <c r="H34" s="5" t="s">
        <v>580</v>
      </c>
      <c r="I34" s="34" t="s">
        <v>528</v>
      </c>
    </row>
    <row r="35" customFormat="false" ht="15" hidden="false" customHeight="false" outlineLevel="0" collapsed="false">
      <c r="A35" s="36" t="s">
        <v>545</v>
      </c>
      <c r="B35" s="36" t="s">
        <v>601</v>
      </c>
      <c r="C35" s="7" t="s">
        <v>602</v>
      </c>
      <c r="D35" s="7" t="s">
        <v>533</v>
      </c>
      <c r="E35" s="36" t="n">
        <v>2</v>
      </c>
      <c r="F35" s="41" t="s">
        <v>63</v>
      </c>
      <c r="G35" s="36" t="s">
        <v>579</v>
      </c>
      <c r="H35" s="7" t="s">
        <v>603</v>
      </c>
      <c r="I35" s="36" t="s">
        <v>528</v>
      </c>
    </row>
    <row r="36" customFormat="false" ht="15" hidden="false" customHeight="false" outlineLevel="0" collapsed="false">
      <c r="A36" s="34" t="s">
        <v>545</v>
      </c>
      <c r="B36" s="34" t="s">
        <v>604</v>
      </c>
      <c r="C36" s="5" t="s">
        <v>605</v>
      </c>
      <c r="D36" s="5" t="s">
        <v>533</v>
      </c>
      <c r="E36" s="34" t="n">
        <v>3</v>
      </c>
      <c r="F36" s="41" t="s">
        <v>63</v>
      </c>
      <c r="G36" s="34" t="s">
        <v>579</v>
      </c>
      <c r="H36" s="5" t="s">
        <v>603</v>
      </c>
      <c r="I36" s="34" t="s">
        <v>528</v>
      </c>
    </row>
    <row r="37" customFormat="false" ht="15" hidden="false" customHeight="false" outlineLevel="0" collapsed="false">
      <c r="A37" s="36" t="s">
        <v>545</v>
      </c>
      <c r="B37" s="36" t="s">
        <v>606</v>
      </c>
      <c r="C37" s="7" t="s">
        <v>607</v>
      </c>
      <c r="D37" s="7" t="s">
        <v>533</v>
      </c>
      <c r="E37" s="36" t="n">
        <v>1</v>
      </c>
      <c r="F37" s="40" t="s">
        <v>64</v>
      </c>
      <c r="G37" s="36" t="s">
        <v>579</v>
      </c>
      <c r="H37" s="7" t="s">
        <v>603</v>
      </c>
      <c r="I37" s="36" t="s">
        <v>528</v>
      </c>
    </row>
    <row r="38" customFormat="false" ht="15" hidden="false" customHeight="false" outlineLevel="0" collapsed="false">
      <c r="A38" s="34" t="s">
        <v>545</v>
      </c>
      <c r="B38" s="34" t="s">
        <v>608</v>
      </c>
      <c r="C38" s="5" t="s">
        <v>609</v>
      </c>
      <c r="D38" s="5" t="s">
        <v>535</v>
      </c>
      <c r="E38" s="34" t="n">
        <v>3</v>
      </c>
      <c r="F38" s="39" t="s">
        <v>62</v>
      </c>
      <c r="G38" s="34" t="s">
        <v>610</v>
      </c>
      <c r="H38" s="5" t="s">
        <v>611</v>
      </c>
      <c r="I38" s="34" t="s">
        <v>528</v>
      </c>
    </row>
    <row r="39" customFormat="false" ht="15" hidden="false" customHeight="false" outlineLevel="0" collapsed="false">
      <c r="A39" s="36" t="s">
        <v>545</v>
      </c>
      <c r="B39" s="36" t="s">
        <v>612</v>
      </c>
      <c r="C39" s="7" t="s">
        <v>613</v>
      </c>
      <c r="D39" s="7" t="s">
        <v>535</v>
      </c>
      <c r="E39" s="36" t="n">
        <v>3</v>
      </c>
      <c r="F39" s="39" t="s">
        <v>62</v>
      </c>
      <c r="G39" s="36" t="s">
        <v>610</v>
      </c>
      <c r="H39" s="7" t="s">
        <v>611</v>
      </c>
      <c r="I39" s="36" t="s">
        <v>528</v>
      </c>
    </row>
    <row r="40" customFormat="false" ht="15" hidden="false" customHeight="false" outlineLevel="0" collapsed="false">
      <c r="A40" s="34" t="s">
        <v>545</v>
      </c>
      <c r="B40" s="34" t="s">
        <v>614</v>
      </c>
      <c r="C40" s="5" t="s">
        <v>615</v>
      </c>
      <c r="D40" s="5" t="s">
        <v>535</v>
      </c>
      <c r="E40" s="34" t="n">
        <v>5</v>
      </c>
      <c r="F40" s="39" t="s">
        <v>62</v>
      </c>
      <c r="G40" s="34" t="s">
        <v>610</v>
      </c>
      <c r="H40" s="5" t="s">
        <v>611</v>
      </c>
      <c r="I40" s="34" t="s">
        <v>528</v>
      </c>
    </row>
    <row r="41" customFormat="false" ht="15" hidden="false" customHeight="false" outlineLevel="0" collapsed="false">
      <c r="A41" s="36" t="s">
        <v>545</v>
      </c>
      <c r="B41" s="36" t="s">
        <v>616</v>
      </c>
      <c r="C41" s="7" t="s">
        <v>617</v>
      </c>
      <c r="D41" s="7" t="s">
        <v>535</v>
      </c>
      <c r="E41" s="36" t="n">
        <v>3</v>
      </c>
      <c r="F41" s="39" t="s">
        <v>62</v>
      </c>
      <c r="G41" s="36" t="s">
        <v>610</v>
      </c>
      <c r="H41" s="7" t="s">
        <v>611</v>
      </c>
      <c r="I41" s="36" t="s">
        <v>528</v>
      </c>
    </row>
    <row r="42" customFormat="false" ht="15" hidden="false" customHeight="false" outlineLevel="0" collapsed="false">
      <c r="A42" s="34" t="s">
        <v>545</v>
      </c>
      <c r="B42" s="34" t="s">
        <v>618</v>
      </c>
      <c r="C42" s="5" t="s">
        <v>619</v>
      </c>
      <c r="D42" s="5" t="s">
        <v>535</v>
      </c>
      <c r="E42" s="34" t="n">
        <v>3</v>
      </c>
      <c r="F42" s="41" t="s">
        <v>63</v>
      </c>
      <c r="G42" s="34" t="s">
        <v>610</v>
      </c>
      <c r="H42" s="5" t="s">
        <v>611</v>
      </c>
      <c r="I42" s="34" t="s">
        <v>528</v>
      </c>
    </row>
    <row r="43" customFormat="false" ht="15" hidden="false" customHeight="false" outlineLevel="0" collapsed="false">
      <c r="A43" s="36" t="s">
        <v>545</v>
      </c>
      <c r="B43" s="36" t="s">
        <v>620</v>
      </c>
      <c r="C43" s="7" t="s">
        <v>621</v>
      </c>
      <c r="D43" s="7" t="s">
        <v>537</v>
      </c>
      <c r="E43" s="36" t="n">
        <v>5</v>
      </c>
      <c r="F43" s="39" t="s">
        <v>62</v>
      </c>
      <c r="G43" s="36" t="s">
        <v>610</v>
      </c>
      <c r="H43" s="7" t="s">
        <v>562</v>
      </c>
      <c r="I43" s="36" t="s">
        <v>528</v>
      </c>
    </row>
    <row r="44" customFormat="false" ht="15" hidden="false" customHeight="false" outlineLevel="0" collapsed="false">
      <c r="A44" s="34" t="s">
        <v>545</v>
      </c>
      <c r="B44" s="34" t="s">
        <v>622</v>
      </c>
      <c r="C44" s="5" t="s">
        <v>623</v>
      </c>
      <c r="D44" s="5" t="s">
        <v>537</v>
      </c>
      <c r="E44" s="34" t="n">
        <v>3</v>
      </c>
      <c r="F44" s="39" t="s">
        <v>62</v>
      </c>
      <c r="G44" s="34" t="s">
        <v>610</v>
      </c>
      <c r="H44" s="5" t="s">
        <v>562</v>
      </c>
      <c r="I44" s="34" t="s">
        <v>528</v>
      </c>
    </row>
    <row r="45" customFormat="false" ht="15" hidden="false" customHeight="false" outlineLevel="0" collapsed="false">
      <c r="A45" s="36" t="s">
        <v>545</v>
      </c>
      <c r="B45" s="36" t="s">
        <v>624</v>
      </c>
      <c r="C45" s="7" t="s">
        <v>625</v>
      </c>
      <c r="D45" s="7" t="s">
        <v>539</v>
      </c>
      <c r="E45" s="36" t="n">
        <v>2</v>
      </c>
      <c r="F45" s="41" t="s">
        <v>63</v>
      </c>
      <c r="G45" s="36" t="s">
        <v>626</v>
      </c>
      <c r="H45" s="7" t="s">
        <v>627</v>
      </c>
      <c r="I45" s="36" t="s">
        <v>528</v>
      </c>
    </row>
    <row r="46" customFormat="false" ht="15" hidden="false" customHeight="false" outlineLevel="0" collapsed="false">
      <c r="A46" s="34" t="s">
        <v>545</v>
      </c>
      <c r="B46" s="34" t="s">
        <v>628</v>
      </c>
      <c r="C46" s="5" t="s">
        <v>629</v>
      </c>
      <c r="D46" s="5" t="s">
        <v>539</v>
      </c>
      <c r="E46" s="34" t="n">
        <v>3</v>
      </c>
      <c r="F46" s="39" t="s">
        <v>62</v>
      </c>
      <c r="G46" s="34" t="s">
        <v>626</v>
      </c>
      <c r="H46" s="5" t="s">
        <v>627</v>
      </c>
      <c r="I46" s="34" t="s">
        <v>528</v>
      </c>
    </row>
    <row r="47" customFormat="false" ht="15" hidden="false" customHeight="false" outlineLevel="0" collapsed="false">
      <c r="A47" s="36" t="s">
        <v>545</v>
      </c>
      <c r="B47" s="36" t="s">
        <v>630</v>
      </c>
      <c r="C47" s="7" t="s">
        <v>631</v>
      </c>
      <c r="D47" s="7" t="s">
        <v>539</v>
      </c>
      <c r="E47" s="36" t="n">
        <v>3</v>
      </c>
      <c r="F47" s="41" t="s">
        <v>63</v>
      </c>
      <c r="G47" s="36" t="s">
        <v>626</v>
      </c>
      <c r="H47" s="7" t="s">
        <v>627</v>
      </c>
      <c r="I47" s="36" t="s">
        <v>528</v>
      </c>
    </row>
    <row r="48" customFormat="false" ht="15" hidden="false" customHeight="false" outlineLevel="0" collapsed="false">
      <c r="A48" s="34" t="s">
        <v>545</v>
      </c>
      <c r="B48" s="34" t="s">
        <v>632</v>
      </c>
      <c r="C48" s="5" t="s">
        <v>633</v>
      </c>
      <c r="D48" s="5" t="s">
        <v>539</v>
      </c>
      <c r="E48" s="34" t="n">
        <v>2</v>
      </c>
      <c r="F48" s="39" t="s">
        <v>62</v>
      </c>
      <c r="G48" s="34" t="s">
        <v>626</v>
      </c>
      <c r="H48" s="5" t="s">
        <v>627</v>
      </c>
      <c r="I48" s="34" t="s">
        <v>528</v>
      </c>
    </row>
    <row r="49" customFormat="false" ht="15" hidden="false" customHeight="false" outlineLevel="0" collapsed="false">
      <c r="A49" s="36" t="s">
        <v>545</v>
      </c>
      <c r="B49" s="36" t="s">
        <v>634</v>
      </c>
      <c r="C49" s="7" t="s">
        <v>635</v>
      </c>
      <c r="D49" s="7" t="s">
        <v>539</v>
      </c>
      <c r="E49" s="36" t="n">
        <v>3</v>
      </c>
      <c r="F49" s="39" t="s">
        <v>62</v>
      </c>
      <c r="G49" s="36" t="s">
        <v>626</v>
      </c>
      <c r="H49" s="7" t="s">
        <v>627</v>
      </c>
      <c r="I49" s="36" t="s">
        <v>528</v>
      </c>
    </row>
    <row r="50" customFormat="false" ht="15" hidden="false" customHeight="false" outlineLevel="0" collapsed="false">
      <c r="A50" s="34" t="s">
        <v>545</v>
      </c>
      <c r="B50" s="34" t="s">
        <v>636</v>
      </c>
      <c r="C50" s="5" t="s">
        <v>637</v>
      </c>
      <c r="D50" s="5" t="s">
        <v>539</v>
      </c>
      <c r="E50" s="34" t="n">
        <v>2</v>
      </c>
      <c r="F50" s="41" t="s">
        <v>63</v>
      </c>
      <c r="G50" s="34" t="s">
        <v>626</v>
      </c>
      <c r="H50" s="5" t="s">
        <v>627</v>
      </c>
      <c r="I50" s="34" t="s">
        <v>528</v>
      </c>
    </row>
    <row r="51" customFormat="false" ht="15" hidden="false" customHeight="false" outlineLevel="0" collapsed="false">
      <c r="A51" s="36" t="s">
        <v>545</v>
      </c>
      <c r="B51" s="36" t="s">
        <v>638</v>
      </c>
      <c r="C51" s="7" t="s">
        <v>639</v>
      </c>
      <c r="D51" s="7" t="s">
        <v>541</v>
      </c>
      <c r="E51" s="36" t="n">
        <v>3</v>
      </c>
      <c r="F51" s="39" t="s">
        <v>62</v>
      </c>
      <c r="G51" s="36" t="s">
        <v>626</v>
      </c>
      <c r="H51" s="7" t="s">
        <v>557</v>
      </c>
      <c r="I51" s="36" t="s">
        <v>528</v>
      </c>
    </row>
    <row r="52" customFormat="false" ht="15" hidden="false" customHeight="false" outlineLevel="0" collapsed="false">
      <c r="A52" s="34" t="s">
        <v>545</v>
      </c>
      <c r="B52" s="34" t="s">
        <v>640</v>
      </c>
      <c r="C52" s="5" t="s">
        <v>641</v>
      </c>
      <c r="D52" s="5" t="s">
        <v>541</v>
      </c>
      <c r="E52" s="34" t="n">
        <v>3</v>
      </c>
      <c r="F52" s="39" t="s">
        <v>62</v>
      </c>
      <c r="G52" s="34" t="s">
        <v>626</v>
      </c>
      <c r="H52" s="5" t="s">
        <v>557</v>
      </c>
      <c r="I52" s="34" t="s">
        <v>528</v>
      </c>
    </row>
    <row r="53" customFormat="false" ht="15" hidden="false" customHeight="false" outlineLevel="0" collapsed="false">
      <c r="A53" s="36" t="s">
        <v>545</v>
      </c>
      <c r="B53" s="36" t="s">
        <v>642</v>
      </c>
      <c r="C53" s="7" t="s">
        <v>643</v>
      </c>
      <c r="D53" s="7" t="s">
        <v>541</v>
      </c>
      <c r="E53" s="36" t="n">
        <v>5</v>
      </c>
      <c r="F53" s="39" t="s">
        <v>62</v>
      </c>
      <c r="G53" s="36" t="s">
        <v>626</v>
      </c>
      <c r="H53" s="7" t="s">
        <v>557</v>
      </c>
      <c r="I53" s="36" t="s">
        <v>528</v>
      </c>
    </row>
    <row r="54" customFormat="false" ht="15" hidden="false" customHeight="false" outlineLevel="0" collapsed="false">
      <c r="A54" s="34" t="s">
        <v>545</v>
      </c>
      <c r="B54" s="34" t="s">
        <v>644</v>
      </c>
      <c r="C54" s="5" t="s">
        <v>645</v>
      </c>
      <c r="D54" s="5" t="s">
        <v>541</v>
      </c>
      <c r="E54" s="34" t="n">
        <v>1</v>
      </c>
      <c r="F54" s="39" t="s">
        <v>62</v>
      </c>
      <c r="G54" s="34" t="s">
        <v>626</v>
      </c>
      <c r="H54" s="5" t="s">
        <v>557</v>
      </c>
      <c r="I54" s="34" t="s">
        <v>528</v>
      </c>
    </row>
    <row r="55" customFormat="false" ht="15" hidden="false" customHeight="false" outlineLevel="0" collapsed="false">
      <c r="A55" s="36" t="s">
        <v>545</v>
      </c>
      <c r="B55" s="36" t="s">
        <v>646</v>
      </c>
      <c r="C55" s="7" t="s">
        <v>647</v>
      </c>
      <c r="D55" s="7" t="s">
        <v>541</v>
      </c>
      <c r="E55" s="36" t="n">
        <v>2</v>
      </c>
      <c r="F55" s="39" t="s">
        <v>62</v>
      </c>
      <c r="G55" s="36" t="s">
        <v>626</v>
      </c>
      <c r="H55" s="7" t="s">
        <v>557</v>
      </c>
      <c r="I55" s="36" t="s">
        <v>528</v>
      </c>
    </row>
    <row r="56" customFormat="false" ht="15" hidden="false" customHeight="false" outlineLevel="0" collapsed="false">
      <c r="A56" s="34" t="s">
        <v>545</v>
      </c>
      <c r="B56" s="34" t="s">
        <v>648</v>
      </c>
      <c r="C56" s="5" t="s">
        <v>649</v>
      </c>
      <c r="D56" s="5" t="s">
        <v>541</v>
      </c>
      <c r="E56" s="34" t="n">
        <v>2</v>
      </c>
      <c r="F56" s="39" t="s">
        <v>62</v>
      </c>
      <c r="G56" s="34" t="s">
        <v>626</v>
      </c>
      <c r="H56" s="5" t="s">
        <v>557</v>
      </c>
      <c r="I56" s="34" t="s">
        <v>528</v>
      </c>
    </row>
    <row r="57" customFormat="false" ht="15" hidden="false" customHeight="false" outlineLevel="0" collapsed="false">
      <c r="A57" s="36" t="s">
        <v>545</v>
      </c>
      <c r="B57" s="36" t="s">
        <v>650</v>
      </c>
      <c r="C57" s="7" t="s">
        <v>651</v>
      </c>
      <c r="D57" s="7" t="s">
        <v>543</v>
      </c>
      <c r="E57" s="36" t="n">
        <v>1</v>
      </c>
      <c r="F57" s="39" t="s">
        <v>62</v>
      </c>
      <c r="G57" s="36" t="s">
        <v>626</v>
      </c>
      <c r="H57" s="7" t="s">
        <v>549</v>
      </c>
      <c r="I57" s="36" t="s">
        <v>528</v>
      </c>
    </row>
    <row r="58" customFormat="false" ht="15" hidden="false" customHeight="false" outlineLevel="0" collapsed="false">
      <c r="A58" s="34" t="s">
        <v>545</v>
      </c>
      <c r="B58" s="34" t="s">
        <v>652</v>
      </c>
      <c r="C58" s="5" t="s">
        <v>653</v>
      </c>
      <c r="D58" s="5" t="s">
        <v>543</v>
      </c>
      <c r="E58" s="34" t="n">
        <v>2</v>
      </c>
      <c r="F58" s="39" t="s">
        <v>62</v>
      </c>
      <c r="G58" s="34" t="s">
        <v>626</v>
      </c>
      <c r="H58" s="5" t="s">
        <v>549</v>
      </c>
      <c r="I58" s="34" t="s">
        <v>528</v>
      </c>
    </row>
    <row r="59" customFormat="false" ht="15" hidden="false" customHeight="false" outlineLevel="0" collapsed="false">
      <c r="A59" s="36" t="s">
        <v>545</v>
      </c>
      <c r="B59" s="36" t="s">
        <v>654</v>
      </c>
      <c r="C59" s="7" t="s">
        <v>655</v>
      </c>
      <c r="D59" s="7" t="s">
        <v>543</v>
      </c>
      <c r="E59" s="36" t="n">
        <v>1</v>
      </c>
      <c r="F59" s="39" t="s">
        <v>62</v>
      </c>
      <c r="G59" s="36" t="s">
        <v>626</v>
      </c>
      <c r="H59" s="7" t="s">
        <v>549</v>
      </c>
      <c r="I59" s="36" t="s">
        <v>528</v>
      </c>
    </row>
    <row r="60" customFormat="false" ht="15" hidden="false" customHeight="false" outlineLevel="0" collapsed="false">
      <c r="A60" s="34" t="s">
        <v>545</v>
      </c>
      <c r="B60" s="34" t="s">
        <v>656</v>
      </c>
      <c r="C60" s="5" t="s">
        <v>657</v>
      </c>
      <c r="D60" s="5" t="s">
        <v>543</v>
      </c>
      <c r="E60" s="34" t="n">
        <v>1</v>
      </c>
      <c r="F60" s="39" t="s">
        <v>62</v>
      </c>
      <c r="G60" s="34" t="s">
        <v>626</v>
      </c>
      <c r="H60" s="5" t="s">
        <v>658</v>
      </c>
      <c r="I60" s="34" t="s">
        <v>528</v>
      </c>
    </row>
  </sheetData>
  <autoFilter ref="A1:I60"/>
  <dataValidations count="1">
    <dataValidation allowBlank="true" errorStyle="stop" operator="between" showDropDown="false" showErrorMessage="false" showInputMessage="false" sqref="I2:I6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4" min="3" style="0" width="4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23" t="s">
        <v>659</v>
      </c>
      <c r="B1" s="23" t="s">
        <v>660</v>
      </c>
      <c r="C1" s="23" t="s">
        <v>661</v>
      </c>
      <c r="D1" s="23" t="s">
        <v>662</v>
      </c>
      <c r="E1" s="23" t="s">
        <v>663</v>
      </c>
    </row>
    <row r="2" customFormat="false" ht="69.75" hidden="false" customHeight="true" outlineLevel="0" collapsed="false">
      <c r="A2" s="42" t="s">
        <v>548</v>
      </c>
      <c r="B2" s="5" t="s">
        <v>664</v>
      </c>
      <c r="C2" s="5" t="s">
        <v>665</v>
      </c>
      <c r="D2" s="5" t="s">
        <v>666</v>
      </c>
      <c r="E2" s="5" t="s">
        <v>667</v>
      </c>
    </row>
    <row r="3" customFormat="false" ht="69.75" hidden="false" customHeight="true" outlineLevel="0" collapsed="false">
      <c r="A3" s="43" t="s">
        <v>579</v>
      </c>
      <c r="B3" s="7" t="s">
        <v>668</v>
      </c>
      <c r="C3" s="7" t="s">
        <v>669</v>
      </c>
      <c r="D3" s="7" t="s">
        <v>670</v>
      </c>
      <c r="E3" s="7" t="s">
        <v>671</v>
      </c>
    </row>
    <row r="4" customFormat="false" ht="69.75" hidden="false" customHeight="true" outlineLevel="0" collapsed="false">
      <c r="A4" s="42" t="s">
        <v>610</v>
      </c>
      <c r="B4" s="5" t="s">
        <v>672</v>
      </c>
      <c r="C4" s="5" t="s">
        <v>673</v>
      </c>
      <c r="D4" s="5" t="s">
        <v>674</v>
      </c>
      <c r="E4" s="5" t="s">
        <v>675</v>
      </c>
    </row>
    <row r="5" customFormat="false" ht="69.75" hidden="false" customHeight="true" outlineLevel="0" collapsed="false">
      <c r="A5" s="43" t="s">
        <v>626</v>
      </c>
      <c r="B5" s="7" t="s">
        <v>676</v>
      </c>
      <c r="C5" s="7" t="s">
        <v>677</v>
      </c>
      <c r="D5" s="7" t="s">
        <v>678</v>
      </c>
      <c r="E5" s="7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04"/>
  </cols>
  <sheetData>
    <row r="1" customFormat="false" ht="26.85" hidden="false" customHeight="false" outlineLevel="0" collapsed="false">
      <c r="A1" s="23" t="s">
        <v>67</v>
      </c>
      <c r="B1" s="23" t="s">
        <v>680</v>
      </c>
      <c r="C1" s="23" t="s">
        <v>681</v>
      </c>
      <c r="D1" s="23" t="s">
        <v>682</v>
      </c>
      <c r="E1" s="23" t="s">
        <v>683</v>
      </c>
    </row>
    <row r="2" customFormat="false" ht="43.25" hidden="false" customHeight="false" outlineLevel="0" collapsed="false">
      <c r="A2" s="33"/>
      <c r="B2" s="44" t="n">
        <v>1</v>
      </c>
      <c r="C2" s="5" t="s">
        <v>684</v>
      </c>
      <c r="D2" s="5" t="s">
        <v>685</v>
      </c>
      <c r="E2" s="45" t="s">
        <v>686</v>
      </c>
    </row>
    <row r="3" customFormat="false" ht="95.5" hidden="false" customHeight="false" outlineLevel="0" collapsed="false">
      <c r="A3" s="35"/>
      <c r="B3" s="46" t="n">
        <v>2</v>
      </c>
      <c r="C3" s="7" t="s">
        <v>687</v>
      </c>
      <c r="D3" s="7" t="s">
        <v>688</v>
      </c>
      <c r="E3" s="47" t="s">
        <v>689</v>
      </c>
    </row>
    <row r="4" customFormat="false" ht="95.5" hidden="false" customHeight="false" outlineLevel="0" collapsed="false">
      <c r="A4" s="33"/>
      <c r="B4" s="44" t="n">
        <v>3</v>
      </c>
      <c r="C4" s="5" t="s">
        <v>690</v>
      </c>
      <c r="D4" s="5" t="s">
        <v>691</v>
      </c>
      <c r="E4" s="45" t="s">
        <v>692</v>
      </c>
    </row>
    <row r="5" customFormat="false" ht="53.7" hidden="false" customHeight="false" outlineLevel="0" collapsed="false">
      <c r="A5" s="35"/>
      <c r="B5" s="46" t="n">
        <v>4</v>
      </c>
      <c r="C5" s="7" t="s">
        <v>693</v>
      </c>
      <c r="D5" s="7" t="s">
        <v>694</v>
      </c>
      <c r="E5" s="47" t="s">
        <v>695</v>
      </c>
    </row>
    <row r="6" customFormat="false" ht="53.7" hidden="false" customHeight="false" outlineLevel="0" collapsed="false">
      <c r="A6" s="33"/>
      <c r="B6" s="44" t="n">
        <v>5</v>
      </c>
      <c r="C6" s="5" t="s">
        <v>696</v>
      </c>
      <c r="D6" s="5" t="s">
        <v>697</v>
      </c>
      <c r="E6" s="45" t="s">
        <v>698</v>
      </c>
    </row>
    <row r="7" customFormat="false" ht="74.6" hidden="false" customHeight="false" outlineLevel="0" collapsed="false">
      <c r="A7" s="35"/>
      <c r="B7" s="46" t="n">
        <v>6</v>
      </c>
      <c r="C7" s="7" t="s">
        <v>699</v>
      </c>
      <c r="D7" s="7" t="s">
        <v>700</v>
      </c>
      <c r="E7" s="47" t="s">
        <v>701</v>
      </c>
    </row>
    <row r="8" customFormat="false" ht="64.15" hidden="false" customHeight="false" outlineLevel="0" collapsed="false">
      <c r="A8" s="33"/>
      <c r="B8" s="44" t="n">
        <v>7</v>
      </c>
      <c r="C8" s="5" t="s">
        <v>702</v>
      </c>
      <c r="D8" s="5" t="s">
        <v>703</v>
      </c>
      <c r="E8" s="45" t="s">
        <v>704</v>
      </c>
    </row>
    <row r="9" customFormat="false" ht="64.15" hidden="false" customHeight="false" outlineLevel="0" collapsed="false">
      <c r="A9" s="35"/>
      <c r="B9" s="46" t="n">
        <v>8</v>
      </c>
      <c r="C9" s="7" t="s">
        <v>705</v>
      </c>
      <c r="D9" s="7" t="s">
        <v>706</v>
      </c>
      <c r="E9" s="47" t="s">
        <v>707</v>
      </c>
    </row>
    <row r="10" customFormat="false" ht="43.25" hidden="false" customHeight="false" outlineLevel="0" collapsed="false">
      <c r="A10" s="33"/>
      <c r="B10" s="44" t="n">
        <v>9</v>
      </c>
      <c r="C10" s="5" t="s">
        <v>708</v>
      </c>
      <c r="D10" s="5" t="s">
        <v>709</v>
      </c>
      <c r="E10" s="45" t="s">
        <v>710</v>
      </c>
    </row>
    <row r="11" customFormat="false" ht="53.7" hidden="false" customHeight="false" outlineLevel="0" collapsed="false">
      <c r="A11" s="35"/>
      <c r="B11" s="46" t="n">
        <v>10</v>
      </c>
      <c r="C11" s="7" t="s">
        <v>711</v>
      </c>
      <c r="D11" s="7" t="s">
        <v>712</v>
      </c>
      <c r="E11" s="47" t="s">
        <v>713</v>
      </c>
    </row>
    <row r="12" customFormat="false" ht="85.05" hidden="false" customHeight="false" outlineLevel="0" collapsed="false">
      <c r="A12" s="33"/>
      <c r="B12" s="44" t="n">
        <v>11</v>
      </c>
      <c r="C12" s="5" t="s">
        <v>714</v>
      </c>
      <c r="D12" s="5" t="s">
        <v>715</v>
      </c>
      <c r="E12" s="45" t="s">
        <v>716</v>
      </c>
    </row>
    <row r="13" customFormat="false" ht="32.8" hidden="false" customHeight="false" outlineLevel="0" collapsed="false">
      <c r="A13" s="35"/>
      <c r="B13" s="46" t="n">
        <v>12</v>
      </c>
      <c r="C13" s="7" t="s">
        <v>717</v>
      </c>
      <c r="D13" s="7" t="s">
        <v>718</v>
      </c>
      <c r="E13" s="47" t="s">
        <v>719</v>
      </c>
    </row>
    <row r="14" customFormat="false" ht="53.7" hidden="false" customHeight="false" outlineLevel="0" collapsed="false">
      <c r="A14" s="33"/>
      <c r="B14" s="44" t="n">
        <v>13</v>
      </c>
      <c r="C14" s="5" t="s">
        <v>720</v>
      </c>
      <c r="D14" s="5" t="s">
        <v>721</v>
      </c>
      <c r="E14" s="45" t="s">
        <v>722</v>
      </c>
    </row>
    <row r="15" customFormat="false" ht="85.05" hidden="false" customHeight="false" outlineLevel="0" collapsed="false">
      <c r="A15" s="35"/>
      <c r="B15" s="46" t="n">
        <v>14</v>
      </c>
      <c r="C15" s="7" t="s">
        <v>723</v>
      </c>
      <c r="D15" s="7" t="s">
        <v>724</v>
      </c>
      <c r="E15" s="47" t="s">
        <v>725</v>
      </c>
    </row>
    <row r="16" customFormat="false" ht="74.6" hidden="false" customHeight="false" outlineLevel="0" collapsed="false">
      <c r="A16" s="33"/>
      <c r="B16" s="44" t="n">
        <v>15</v>
      </c>
      <c r="C16" s="5" t="s">
        <v>726</v>
      </c>
      <c r="D16" s="5" t="s">
        <v>727</v>
      </c>
      <c r="E16" s="45" t="s">
        <v>728</v>
      </c>
    </row>
    <row r="17" customFormat="false" ht="53.7" hidden="false" customHeight="false" outlineLevel="0" collapsed="false">
      <c r="A17" s="35"/>
      <c r="B17" s="46" t="n">
        <v>16</v>
      </c>
      <c r="C17" s="7" t="s">
        <v>729</v>
      </c>
      <c r="D17" s="7" t="s">
        <v>730</v>
      </c>
      <c r="E17" s="47" t="s">
        <v>731</v>
      </c>
    </row>
    <row r="18" customFormat="false" ht="53.7" hidden="false" customHeight="false" outlineLevel="0" collapsed="false">
      <c r="A18" s="33"/>
      <c r="B18" s="44" t="n">
        <v>17</v>
      </c>
      <c r="C18" s="5" t="s">
        <v>732</v>
      </c>
      <c r="D18" s="5" t="s">
        <v>733</v>
      </c>
      <c r="E18" s="45" t="s">
        <v>734</v>
      </c>
    </row>
    <row r="19" customFormat="false" ht="105.95" hidden="false" customHeight="false" outlineLevel="0" collapsed="false">
      <c r="A19" s="35"/>
      <c r="B19" s="46" t="n">
        <v>18</v>
      </c>
      <c r="C19" s="7" t="s">
        <v>735</v>
      </c>
      <c r="D19" s="7" t="s">
        <v>736</v>
      </c>
      <c r="E19" s="47" t="s">
        <v>737</v>
      </c>
    </row>
  </sheetData>
  <conditionalFormatting sqref="A2:E19">
    <cfRule type="expression" priority="2" aboveAverage="0" equalAverage="0" bottom="0" percent="0" rank="0" text="" dxfId="8">
      <formula>$A2="✓"</formula>
    </cfRule>
  </conditionalFormatting>
  <dataValidations count="1">
    <dataValidation allowBlank="true" errorStyle="stop" operator="between" prompt="Select ✓ when done" promptTitle="Mark complete" showDropDown="false" showErrorMessage="false" showInputMessage="false" sqref="A2:A19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3" min="3" style="0" width="54"/>
  </cols>
  <sheetData>
    <row r="1" customFormat="false" ht="26.85" hidden="false" customHeight="false" outlineLevel="0" collapsed="false">
      <c r="A1" s="23" t="s">
        <v>67</v>
      </c>
      <c r="B1" s="23" t="s">
        <v>738</v>
      </c>
      <c r="C1" s="23" t="s">
        <v>739</v>
      </c>
    </row>
    <row r="2" customFormat="false" ht="17.35" hidden="false" customHeight="false" outlineLevel="0" collapsed="false">
      <c r="A2" s="48"/>
      <c r="B2" s="5" t="s">
        <v>740</v>
      </c>
      <c r="C2" s="5" t="s">
        <v>741</v>
      </c>
    </row>
    <row r="3" customFormat="false" ht="17.35" hidden="false" customHeight="false" outlineLevel="0" collapsed="false">
      <c r="A3" s="49"/>
      <c r="B3" s="7" t="s">
        <v>742</v>
      </c>
      <c r="C3" s="7" t="s">
        <v>743</v>
      </c>
    </row>
    <row r="4" customFormat="false" ht="17.35" hidden="false" customHeight="false" outlineLevel="0" collapsed="false">
      <c r="A4" s="48"/>
      <c r="B4" s="5" t="s">
        <v>744</v>
      </c>
      <c r="C4" s="5" t="s">
        <v>745</v>
      </c>
    </row>
    <row r="5" customFormat="false" ht="17.35" hidden="false" customHeight="false" outlineLevel="0" collapsed="false">
      <c r="A5" s="49"/>
      <c r="B5" s="7" t="s">
        <v>746</v>
      </c>
      <c r="C5" s="7" t="s">
        <v>747</v>
      </c>
    </row>
    <row r="6" customFormat="false" ht="17.35" hidden="false" customHeight="false" outlineLevel="0" collapsed="false">
      <c r="A6" s="48"/>
      <c r="B6" s="5" t="s">
        <v>748</v>
      </c>
      <c r="C6" s="5" t="s">
        <v>749</v>
      </c>
    </row>
    <row r="7" customFormat="false" ht="17.35" hidden="false" customHeight="false" outlineLevel="0" collapsed="false">
      <c r="A7" s="49"/>
      <c r="B7" s="7" t="s">
        <v>750</v>
      </c>
      <c r="C7" s="7" t="s">
        <v>751</v>
      </c>
    </row>
    <row r="8" customFormat="false" ht="17.35" hidden="false" customHeight="false" outlineLevel="0" collapsed="false">
      <c r="A8" s="48"/>
      <c r="B8" s="5" t="s">
        <v>752</v>
      </c>
      <c r="C8" s="5" t="s">
        <v>753</v>
      </c>
    </row>
    <row r="9" customFormat="false" ht="17.35" hidden="false" customHeight="false" outlineLevel="0" collapsed="false">
      <c r="A9" s="49"/>
      <c r="B9" s="7" t="s">
        <v>754</v>
      </c>
      <c r="C9" s="7" t="s">
        <v>755</v>
      </c>
    </row>
    <row r="10" customFormat="false" ht="17.35" hidden="false" customHeight="false" outlineLevel="0" collapsed="false">
      <c r="A10" s="48"/>
      <c r="B10" s="5" t="s">
        <v>756</v>
      </c>
      <c r="C10" s="5" t="s">
        <v>757</v>
      </c>
    </row>
    <row r="11" customFormat="false" ht="17.35" hidden="false" customHeight="false" outlineLevel="0" collapsed="false">
      <c r="A11" s="49"/>
      <c r="B11" s="7" t="s">
        <v>758</v>
      </c>
      <c r="C11" s="7" t="s">
        <v>759</v>
      </c>
    </row>
    <row r="12" customFormat="false" ht="17.35" hidden="false" customHeight="false" outlineLevel="0" collapsed="false">
      <c r="A12" s="48"/>
      <c r="B12" s="5" t="s">
        <v>760</v>
      </c>
      <c r="C12" s="5" t="s">
        <v>761</v>
      </c>
    </row>
    <row r="13" customFormat="false" ht="17.35" hidden="false" customHeight="false" outlineLevel="0" collapsed="false">
      <c r="A13" s="49"/>
      <c r="B13" s="7" t="s">
        <v>762</v>
      </c>
      <c r="C13" s="7" t="s">
        <v>763</v>
      </c>
    </row>
    <row r="14" customFormat="false" ht="17.35" hidden="false" customHeight="false" outlineLevel="0" collapsed="false">
      <c r="A14" s="48"/>
      <c r="B14" s="5" t="s">
        <v>764</v>
      </c>
      <c r="C14" s="5" t="s">
        <v>765</v>
      </c>
    </row>
    <row r="15" customFormat="false" ht="17.35" hidden="false" customHeight="false" outlineLevel="0" collapsed="false">
      <c r="A15" s="49"/>
      <c r="B15" s="7" t="s">
        <v>766</v>
      </c>
      <c r="C15" s="7" t="s">
        <v>767</v>
      </c>
    </row>
    <row r="16" customFormat="false" ht="17.35" hidden="false" customHeight="false" outlineLevel="0" collapsed="false">
      <c r="A16" s="48"/>
      <c r="B16" s="5" t="s">
        <v>768</v>
      </c>
      <c r="C16" s="5" t="s">
        <v>769</v>
      </c>
    </row>
    <row r="17" customFormat="false" ht="17.35" hidden="false" customHeight="false" outlineLevel="0" collapsed="false">
      <c r="A17" s="49"/>
      <c r="B17" s="7" t="s">
        <v>770</v>
      </c>
      <c r="C17" s="7" t="s">
        <v>771</v>
      </c>
    </row>
    <row r="18" customFormat="false" ht="17.35" hidden="false" customHeight="false" outlineLevel="0" collapsed="false">
      <c r="A18" s="48"/>
      <c r="B18" s="5" t="s">
        <v>772</v>
      </c>
      <c r="C18" s="5" t="s">
        <v>773</v>
      </c>
    </row>
    <row r="19" customFormat="false" ht="17.35" hidden="false" customHeight="false" outlineLevel="0" collapsed="false">
      <c r="A19" s="49"/>
      <c r="B19" s="7" t="s">
        <v>774</v>
      </c>
      <c r="C19" s="7" t="s">
        <v>775</v>
      </c>
    </row>
  </sheetData>
  <conditionalFormatting sqref="A2:C19">
    <cfRule type="expression" priority="2" aboveAverage="0" equalAverage="0" bottom="0" percent="0" rank="0" text="" dxfId="8">
      <formula>$A2="✓"</formula>
    </cfRule>
  </conditionalFormatting>
  <dataValidations count="1">
    <dataValidation allowBlank="true" errorStyle="stop" operator="between" prompt="Select ✓ when done" promptTitle="Mark complete" showDropDown="false" showErrorMessage="false" showInputMessage="false" sqref="A2:A19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23" t="s">
        <v>776</v>
      </c>
      <c r="B1" s="23" t="s">
        <v>777</v>
      </c>
      <c r="C1" s="23" t="s">
        <v>778</v>
      </c>
      <c r="D1" s="23" t="s">
        <v>779</v>
      </c>
      <c r="E1" s="23" t="s">
        <v>780</v>
      </c>
    </row>
    <row r="2" customFormat="false" ht="15" hidden="false" customHeight="false" outlineLevel="0" collapsed="false">
      <c r="A2" s="50" t="s">
        <v>781</v>
      </c>
      <c r="B2" s="7" t="s">
        <v>782</v>
      </c>
      <c r="C2" s="7" t="s">
        <v>783</v>
      </c>
      <c r="D2" s="36" t="s">
        <v>784</v>
      </c>
      <c r="E2" s="7" t="s">
        <v>785</v>
      </c>
    </row>
    <row r="3" customFormat="false" ht="15" hidden="false" customHeight="false" outlineLevel="0" collapsed="false">
      <c r="A3" s="7" t="s">
        <v>781</v>
      </c>
      <c r="B3" s="7" t="s">
        <v>786</v>
      </c>
      <c r="C3" s="7" t="s">
        <v>787</v>
      </c>
      <c r="D3" s="36" t="s">
        <v>784</v>
      </c>
      <c r="E3" s="7" t="s">
        <v>788</v>
      </c>
    </row>
    <row r="4" customFormat="false" ht="15" hidden="false" customHeight="false" outlineLevel="0" collapsed="false">
      <c r="A4" s="7" t="s">
        <v>781</v>
      </c>
      <c r="B4" s="7" t="s">
        <v>789</v>
      </c>
      <c r="C4" s="7" t="s">
        <v>787</v>
      </c>
      <c r="D4" s="36" t="s">
        <v>784</v>
      </c>
      <c r="E4" s="7" t="s">
        <v>790</v>
      </c>
    </row>
    <row r="5" customFormat="false" ht="15" hidden="false" customHeight="false" outlineLevel="0" collapsed="false">
      <c r="A5" s="7" t="s">
        <v>781</v>
      </c>
      <c r="B5" s="7" t="s">
        <v>791</v>
      </c>
      <c r="C5" s="7" t="s">
        <v>787</v>
      </c>
      <c r="D5" s="36" t="s">
        <v>784</v>
      </c>
      <c r="E5" s="7" t="s">
        <v>792</v>
      </c>
    </row>
    <row r="6" customFormat="false" ht="15" hidden="false" customHeight="false" outlineLevel="0" collapsed="false">
      <c r="A6" s="7" t="s">
        <v>781</v>
      </c>
      <c r="B6" s="7" t="s">
        <v>793</v>
      </c>
      <c r="C6" s="7" t="s">
        <v>787</v>
      </c>
      <c r="D6" s="36" t="s">
        <v>784</v>
      </c>
      <c r="E6" s="7" t="s">
        <v>794</v>
      </c>
    </row>
    <row r="7" customFormat="false" ht="15" hidden="false" customHeight="false" outlineLevel="0" collapsed="false">
      <c r="A7" s="7" t="s">
        <v>781</v>
      </c>
      <c r="B7" s="7" t="s">
        <v>795</v>
      </c>
      <c r="C7" s="7" t="s">
        <v>796</v>
      </c>
      <c r="D7" s="36" t="s">
        <v>784</v>
      </c>
      <c r="E7" s="7" t="s">
        <v>797</v>
      </c>
    </row>
    <row r="8" customFormat="false" ht="15" hidden="false" customHeight="false" outlineLevel="0" collapsed="false">
      <c r="A8" s="51" t="s">
        <v>786</v>
      </c>
      <c r="B8" s="52" t="s">
        <v>798</v>
      </c>
      <c r="C8" s="52" t="s">
        <v>799</v>
      </c>
      <c r="D8" s="53" t="s">
        <v>800</v>
      </c>
      <c r="E8" s="52" t="s">
        <v>801</v>
      </c>
    </row>
    <row r="9" customFormat="false" ht="15" hidden="false" customHeight="false" outlineLevel="0" collapsed="false">
      <c r="A9" s="52" t="s">
        <v>786</v>
      </c>
      <c r="B9" s="52" t="s">
        <v>802</v>
      </c>
      <c r="C9" s="52" t="s">
        <v>799</v>
      </c>
      <c r="D9" s="53" t="s">
        <v>803</v>
      </c>
      <c r="E9" s="52" t="s">
        <v>804</v>
      </c>
    </row>
    <row r="10" customFormat="false" ht="15" hidden="false" customHeight="false" outlineLevel="0" collapsed="false">
      <c r="A10" s="52" t="s">
        <v>786</v>
      </c>
      <c r="B10" s="52" t="s">
        <v>805</v>
      </c>
      <c r="C10" s="52" t="s">
        <v>799</v>
      </c>
      <c r="D10" s="53" t="s">
        <v>806</v>
      </c>
      <c r="E10" s="52" t="s">
        <v>807</v>
      </c>
    </row>
    <row r="11" customFormat="false" ht="15" hidden="false" customHeight="false" outlineLevel="0" collapsed="false">
      <c r="A11" s="50" t="s">
        <v>789</v>
      </c>
      <c r="B11" s="7" t="s">
        <v>808</v>
      </c>
      <c r="C11" s="7" t="s">
        <v>809</v>
      </c>
      <c r="D11" s="36" t="s">
        <v>784</v>
      </c>
      <c r="E11" s="7" t="s">
        <v>810</v>
      </c>
    </row>
    <row r="12" customFormat="false" ht="15" hidden="false" customHeight="false" outlineLevel="0" collapsed="false">
      <c r="A12" s="7" t="s">
        <v>789</v>
      </c>
      <c r="B12" s="7" t="s">
        <v>811</v>
      </c>
      <c r="C12" s="7" t="s">
        <v>812</v>
      </c>
      <c r="D12" s="36" t="s">
        <v>784</v>
      </c>
      <c r="E12" s="7" t="s">
        <v>813</v>
      </c>
    </row>
    <row r="13" customFormat="false" ht="15" hidden="false" customHeight="false" outlineLevel="0" collapsed="false">
      <c r="A13" s="51" t="s">
        <v>814</v>
      </c>
      <c r="B13" s="52" t="s">
        <v>815</v>
      </c>
      <c r="C13" s="52" t="s">
        <v>783</v>
      </c>
      <c r="D13" s="53" t="s">
        <v>784</v>
      </c>
      <c r="E13" s="52" t="s">
        <v>816</v>
      </c>
    </row>
    <row r="14" customFormat="false" ht="15" hidden="false" customHeight="false" outlineLevel="0" collapsed="false">
      <c r="A14" s="52" t="s">
        <v>814</v>
      </c>
      <c r="B14" s="52" t="s">
        <v>817</v>
      </c>
      <c r="C14" s="52" t="s">
        <v>818</v>
      </c>
      <c r="D14" s="53" t="s">
        <v>819</v>
      </c>
      <c r="E14" s="52" t="s">
        <v>820</v>
      </c>
    </row>
    <row r="15" customFormat="false" ht="15" hidden="false" customHeight="false" outlineLevel="0" collapsed="false">
      <c r="A15" s="50" t="s">
        <v>793</v>
      </c>
      <c r="B15" s="7" t="s">
        <v>821</v>
      </c>
      <c r="C15" s="7" t="s">
        <v>822</v>
      </c>
      <c r="D15" s="36" t="s">
        <v>823</v>
      </c>
      <c r="E15" s="7" t="s">
        <v>824</v>
      </c>
    </row>
    <row r="16" customFormat="false" ht="15" hidden="false" customHeight="false" outlineLevel="0" collapsed="false">
      <c r="A16" s="7" t="s">
        <v>793</v>
      </c>
      <c r="B16" s="7" t="s">
        <v>825</v>
      </c>
      <c r="C16" s="7" t="s">
        <v>822</v>
      </c>
      <c r="D16" s="36" t="s">
        <v>823</v>
      </c>
      <c r="E16" s="7" t="s">
        <v>826</v>
      </c>
    </row>
    <row r="17" customFormat="false" ht="15" hidden="false" customHeight="false" outlineLevel="0" collapsed="false">
      <c r="A17" s="7" t="s">
        <v>793</v>
      </c>
      <c r="B17" s="7" t="s">
        <v>827</v>
      </c>
      <c r="C17" s="7" t="s">
        <v>822</v>
      </c>
      <c r="D17" s="36" t="s">
        <v>823</v>
      </c>
      <c r="E17" s="7" t="s">
        <v>828</v>
      </c>
    </row>
    <row r="18" customFormat="false" ht="15" hidden="false" customHeight="false" outlineLevel="0" collapsed="false">
      <c r="A18" s="7" t="s">
        <v>793</v>
      </c>
      <c r="B18" s="7" t="s">
        <v>829</v>
      </c>
      <c r="C18" s="7" t="s">
        <v>822</v>
      </c>
      <c r="D18" s="36" t="s">
        <v>830</v>
      </c>
      <c r="E18" s="7" t="s">
        <v>831</v>
      </c>
    </row>
    <row r="19" customFormat="false" ht="15" hidden="false" customHeight="false" outlineLevel="0" collapsed="false">
      <c r="A19" s="51" t="s">
        <v>832</v>
      </c>
      <c r="B19" s="52" t="s">
        <v>833</v>
      </c>
      <c r="C19" s="52" t="s">
        <v>783</v>
      </c>
      <c r="D19" s="53" t="s">
        <v>784</v>
      </c>
      <c r="E19" s="52" t="s">
        <v>834</v>
      </c>
    </row>
    <row r="20" customFormat="false" ht="15" hidden="false" customHeight="false" outlineLevel="0" collapsed="false">
      <c r="A20" s="52" t="s">
        <v>832</v>
      </c>
      <c r="B20" s="52" t="s">
        <v>825</v>
      </c>
      <c r="C20" s="52" t="s">
        <v>783</v>
      </c>
      <c r="D20" s="53" t="s">
        <v>784</v>
      </c>
      <c r="E20" s="52" t="s">
        <v>835</v>
      </c>
    </row>
    <row r="21" customFormat="false" ht="15" hidden="false" customHeight="false" outlineLevel="0" collapsed="false">
      <c r="A21" s="52" t="s">
        <v>832</v>
      </c>
      <c r="B21" s="52" t="s">
        <v>836</v>
      </c>
      <c r="C21" s="52" t="s">
        <v>783</v>
      </c>
      <c r="D21" s="53" t="s">
        <v>784</v>
      </c>
      <c r="E21" s="52" t="s">
        <v>837</v>
      </c>
    </row>
    <row r="22" customFormat="false" ht="15" hidden="false" customHeight="false" outlineLevel="0" collapsed="false">
      <c r="A22" s="52" t="s">
        <v>832</v>
      </c>
      <c r="B22" s="52" t="s">
        <v>838</v>
      </c>
      <c r="C22" s="52" t="s">
        <v>783</v>
      </c>
      <c r="D22" s="53" t="s">
        <v>784</v>
      </c>
      <c r="E22" s="52" t="s">
        <v>839</v>
      </c>
    </row>
    <row r="23" customFormat="false" ht="15" hidden="false" customHeight="false" outlineLevel="0" collapsed="false">
      <c r="A23" s="52" t="s">
        <v>832</v>
      </c>
      <c r="B23" s="52" t="s">
        <v>840</v>
      </c>
      <c r="C23" s="52" t="s">
        <v>818</v>
      </c>
      <c r="D23" s="53" t="s">
        <v>784</v>
      </c>
      <c r="E23" s="52" t="s">
        <v>841</v>
      </c>
    </row>
    <row r="24" customFormat="false" ht="15" hidden="false" customHeight="false" outlineLevel="0" collapsed="false">
      <c r="A24" s="52" t="s">
        <v>832</v>
      </c>
      <c r="B24" s="52" t="s">
        <v>842</v>
      </c>
      <c r="C24" s="52" t="s">
        <v>822</v>
      </c>
      <c r="D24" s="53" t="s">
        <v>843</v>
      </c>
      <c r="E24" s="52" t="s">
        <v>844</v>
      </c>
    </row>
    <row r="25" customFormat="false" ht="15" hidden="false" customHeight="false" outlineLevel="0" collapsed="false">
      <c r="A25" s="52" t="s">
        <v>832</v>
      </c>
      <c r="B25" s="52" t="s">
        <v>845</v>
      </c>
      <c r="C25" s="52" t="s">
        <v>818</v>
      </c>
      <c r="D25" s="53" t="s">
        <v>846</v>
      </c>
      <c r="E25" s="52" t="s">
        <v>847</v>
      </c>
    </row>
    <row r="26" customFormat="false" ht="15" hidden="false" customHeight="false" outlineLevel="0" collapsed="false">
      <c r="A26" s="50" t="s">
        <v>848</v>
      </c>
      <c r="B26" s="7" t="s">
        <v>814</v>
      </c>
      <c r="C26" s="7" t="s">
        <v>783</v>
      </c>
      <c r="D26" s="36" t="s">
        <v>784</v>
      </c>
      <c r="E26" s="7" t="s">
        <v>849</v>
      </c>
    </row>
    <row r="27" customFormat="false" ht="23.85" hidden="false" customHeight="false" outlineLevel="0" collapsed="false">
      <c r="A27" s="7" t="s">
        <v>848</v>
      </c>
      <c r="B27" s="7" t="s">
        <v>850</v>
      </c>
      <c r="C27" s="7" t="s">
        <v>818</v>
      </c>
      <c r="D27" s="36" t="s">
        <v>784</v>
      </c>
      <c r="E27" s="7" t="s">
        <v>851</v>
      </c>
    </row>
    <row r="28" customFormat="false" ht="15" hidden="false" customHeight="false" outlineLevel="0" collapsed="false">
      <c r="A28" s="7" t="s">
        <v>848</v>
      </c>
      <c r="B28" s="7" t="s">
        <v>852</v>
      </c>
      <c r="C28" s="7" t="s">
        <v>818</v>
      </c>
      <c r="D28" s="36" t="s">
        <v>784</v>
      </c>
      <c r="E28" s="7" t="s">
        <v>853</v>
      </c>
    </row>
    <row r="29" customFormat="false" ht="23.85" hidden="false" customHeight="false" outlineLevel="0" collapsed="false">
      <c r="A29" s="51" t="s">
        <v>854</v>
      </c>
      <c r="B29" s="52" t="s">
        <v>855</v>
      </c>
      <c r="C29" s="52" t="s">
        <v>856</v>
      </c>
      <c r="D29" s="53" t="s">
        <v>784</v>
      </c>
      <c r="E29" s="52" t="s">
        <v>857</v>
      </c>
    </row>
    <row r="30" customFormat="false" ht="23.85" hidden="false" customHeight="false" outlineLevel="0" collapsed="false">
      <c r="A30" s="50" t="s">
        <v>858</v>
      </c>
      <c r="B30" s="7" t="s">
        <v>859</v>
      </c>
      <c r="C30" s="7" t="s">
        <v>856</v>
      </c>
      <c r="D30" s="36" t="s">
        <v>784</v>
      </c>
      <c r="E30" s="7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4" min="3" style="0" width="2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23" t="s">
        <v>861</v>
      </c>
      <c r="B1" s="23" t="s">
        <v>862</v>
      </c>
      <c r="C1" s="23" t="s">
        <v>863</v>
      </c>
      <c r="D1" s="23" t="s">
        <v>864</v>
      </c>
      <c r="E1" s="23" t="s">
        <v>865</v>
      </c>
    </row>
    <row r="2" customFormat="false" ht="23.85" hidden="false" customHeight="false" outlineLevel="0" collapsed="false">
      <c r="A2" s="54" t="s">
        <v>866</v>
      </c>
      <c r="B2" s="5" t="s">
        <v>867</v>
      </c>
      <c r="C2" s="5" t="s">
        <v>868</v>
      </c>
      <c r="D2" s="5" t="s">
        <v>869</v>
      </c>
      <c r="E2" s="5" t="s">
        <v>870</v>
      </c>
    </row>
    <row r="3" customFormat="false" ht="23.85" hidden="false" customHeight="false" outlineLevel="0" collapsed="false">
      <c r="A3" s="50" t="s">
        <v>871</v>
      </c>
      <c r="B3" s="7" t="s">
        <v>872</v>
      </c>
      <c r="C3" s="7" t="s">
        <v>873</v>
      </c>
      <c r="D3" s="7" t="s">
        <v>874</v>
      </c>
      <c r="E3" s="7" t="s">
        <v>875</v>
      </c>
    </row>
    <row r="4" customFormat="false" ht="23.85" hidden="false" customHeight="false" outlineLevel="0" collapsed="false">
      <c r="A4" s="54" t="s">
        <v>876</v>
      </c>
      <c r="B4" s="5" t="s">
        <v>877</v>
      </c>
      <c r="C4" s="5" t="s">
        <v>878</v>
      </c>
      <c r="D4" s="5" t="s">
        <v>879</v>
      </c>
      <c r="E4" s="5" t="s">
        <v>880</v>
      </c>
    </row>
    <row r="5" customFormat="false" ht="23.85" hidden="false" customHeight="false" outlineLevel="0" collapsed="false">
      <c r="A5" s="50" t="s">
        <v>881</v>
      </c>
      <c r="B5" s="7" t="s">
        <v>882</v>
      </c>
      <c r="C5" s="7" t="s">
        <v>795</v>
      </c>
      <c r="D5" s="7" t="s">
        <v>883</v>
      </c>
      <c r="E5" s="7" t="s">
        <v>884</v>
      </c>
    </row>
    <row r="6" customFormat="false" ht="35.05" hidden="false" customHeight="false" outlineLevel="0" collapsed="false">
      <c r="A6" s="54" t="s">
        <v>885</v>
      </c>
      <c r="B6" s="5" t="s">
        <v>886</v>
      </c>
      <c r="C6" s="5" t="s">
        <v>887</v>
      </c>
      <c r="D6" s="5" t="s">
        <v>888</v>
      </c>
      <c r="E6" s="5" t="s">
        <v>889</v>
      </c>
    </row>
    <row r="7" customFormat="false" ht="23.85" hidden="false" customHeight="false" outlineLevel="0" collapsed="false">
      <c r="A7" s="50" t="s">
        <v>890</v>
      </c>
      <c r="B7" s="7" t="s">
        <v>891</v>
      </c>
      <c r="C7" s="7" t="s">
        <v>892</v>
      </c>
      <c r="D7" s="7" t="s">
        <v>893</v>
      </c>
      <c r="E7" s="7" t="s">
        <v>894</v>
      </c>
    </row>
    <row r="8" customFormat="false" ht="23.85" hidden="false" customHeight="false" outlineLevel="0" collapsed="false">
      <c r="A8" s="54" t="s">
        <v>895</v>
      </c>
      <c r="B8" s="5" t="s">
        <v>896</v>
      </c>
      <c r="C8" s="5" t="s">
        <v>888</v>
      </c>
      <c r="D8" s="5" t="s">
        <v>897</v>
      </c>
      <c r="E8" s="5" t="s">
        <v>898</v>
      </c>
    </row>
    <row r="9" customFormat="false" ht="23.85" hidden="false" customHeight="false" outlineLevel="0" collapsed="false">
      <c r="A9" s="50" t="s">
        <v>899</v>
      </c>
      <c r="B9" s="7" t="s">
        <v>900</v>
      </c>
      <c r="C9" s="7" t="s">
        <v>901</v>
      </c>
      <c r="D9" s="7" t="s">
        <v>902</v>
      </c>
      <c r="E9" s="7" t="s">
        <v>903</v>
      </c>
    </row>
    <row r="10" customFormat="false" ht="23.85" hidden="false" customHeight="false" outlineLevel="0" collapsed="false">
      <c r="A10" s="54" t="s">
        <v>904</v>
      </c>
      <c r="B10" s="5" t="s">
        <v>905</v>
      </c>
      <c r="C10" s="5" t="s">
        <v>906</v>
      </c>
      <c r="D10" s="5" t="s">
        <v>907</v>
      </c>
      <c r="E10" s="5" t="s">
        <v>898</v>
      </c>
    </row>
    <row r="11" customFormat="false" ht="15" hidden="false" customHeight="false" outlineLevel="0" collapsed="false">
      <c r="A11" s="50" t="s">
        <v>908</v>
      </c>
      <c r="B11" s="7" t="s">
        <v>909</v>
      </c>
      <c r="C11" s="7" t="s">
        <v>906</v>
      </c>
      <c r="D11" s="7" t="s">
        <v>910</v>
      </c>
      <c r="E11" s="7" t="s">
        <v>911</v>
      </c>
    </row>
    <row r="12" customFormat="false" ht="23.85" hidden="false" customHeight="false" outlineLevel="0" collapsed="false">
      <c r="A12" s="54" t="s">
        <v>912</v>
      </c>
      <c r="B12" s="5" t="s">
        <v>913</v>
      </c>
      <c r="C12" s="5" t="s">
        <v>914</v>
      </c>
      <c r="D12" s="5" t="s">
        <v>915</v>
      </c>
      <c r="E12" s="5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0"/>
  </cols>
  <sheetData>
    <row r="1" customFormat="false" ht="26.85" hidden="false" customHeight="false" outlineLevel="0" collapsed="false">
      <c r="A1" s="23" t="s">
        <v>67</v>
      </c>
      <c r="B1" s="23" t="s">
        <v>861</v>
      </c>
      <c r="C1" s="23" t="s">
        <v>917</v>
      </c>
    </row>
    <row r="2" customFormat="false" ht="17.35" hidden="false" customHeight="false" outlineLevel="0" collapsed="false">
      <c r="A2" s="48"/>
      <c r="B2" s="55" t="s">
        <v>918</v>
      </c>
      <c r="C2" s="5" t="s">
        <v>919</v>
      </c>
    </row>
    <row r="3" customFormat="false" ht="17.35" hidden="false" customHeight="false" outlineLevel="0" collapsed="false">
      <c r="A3" s="49"/>
      <c r="B3" s="56" t="s">
        <v>920</v>
      </c>
      <c r="C3" s="7" t="s">
        <v>921</v>
      </c>
    </row>
    <row r="4" customFormat="false" ht="17.35" hidden="false" customHeight="false" outlineLevel="0" collapsed="false">
      <c r="A4" s="48"/>
      <c r="B4" s="55" t="s">
        <v>922</v>
      </c>
      <c r="C4" s="5" t="s">
        <v>923</v>
      </c>
    </row>
    <row r="5" customFormat="false" ht="17.35" hidden="false" customHeight="false" outlineLevel="0" collapsed="false">
      <c r="A5" s="49"/>
      <c r="B5" s="56" t="s">
        <v>924</v>
      </c>
      <c r="C5" s="7" t="s">
        <v>925</v>
      </c>
    </row>
    <row r="6" customFormat="false" ht="17.35" hidden="false" customHeight="false" outlineLevel="0" collapsed="false">
      <c r="A6" s="48"/>
      <c r="B6" s="55" t="s">
        <v>926</v>
      </c>
      <c r="C6" s="5" t="s">
        <v>927</v>
      </c>
    </row>
    <row r="7" customFormat="false" ht="17.35" hidden="false" customHeight="false" outlineLevel="0" collapsed="false">
      <c r="A7" s="49"/>
      <c r="B7" s="56" t="s">
        <v>928</v>
      </c>
      <c r="C7" s="7" t="s">
        <v>929</v>
      </c>
    </row>
    <row r="8" customFormat="false" ht="17.35" hidden="false" customHeight="false" outlineLevel="0" collapsed="false">
      <c r="A8" s="48"/>
      <c r="B8" s="55" t="s">
        <v>930</v>
      </c>
      <c r="C8" s="5" t="s">
        <v>931</v>
      </c>
    </row>
    <row r="9" customFormat="false" ht="17.35" hidden="false" customHeight="false" outlineLevel="0" collapsed="false">
      <c r="A9" s="49"/>
      <c r="B9" s="56" t="s">
        <v>932</v>
      </c>
      <c r="C9" s="7" t="s">
        <v>933</v>
      </c>
    </row>
    <row r="10" customFormat="false" ht="17.35" hidden="false" customHeight="false" outlineLevel="0" collapsed="false">
      <c r="A10" s="48"/>
      <c r="B10" s="55" t="s">
        <v>934</v>
      </c>
      <c r="C10" s="5" t="s">
        <v>935</v>
      </c>
    </row>
    <row r="11" customFormat="false" ht="17.35" hidden="false" customHeight="false" outlineLevel="0" collapsed="false">
      <c r="A11" s="49"/>
      <c r="B11" s="56" t="s">
        <v>936</v>
      </c>
      <c r="C11" s="7" t="s">
        <v>937</v>
      </c>
    </row>
    <row r="12" customFormat="false" ht="17.35" hidden="false" customHeight="false" outlineLevel="0" collapsed="false">
      <c r="A12" s="48"/>
      <c r="B12" s="55" t="s">
        <v>938</v>
      </c>
      <c r="C12" s="5" t="s">
        <v>939</v>
      </c>
    </row>
    <row r="13" customFormat="false" ht="17.35" hidden="false" customHeight="false" outlineLevel="0" collapsed="false">
      <c r="A13" s="49"/>
      <c r="B13" s="56" t="s">
        <v>940</v>
      </c>
      <c r="C13" s="7" t="s">
        <v>941</v>
      </c>
    </row>
    <row r="14" customFormat="false" ht="17.35" hidden="false" customHeight="false" outlineLevel="0" collapsed="false">
      <c r="A14" s="48"/>
      <c r="B14" s="55" t="s">
        <v>942</v>
      </c>
      <c r="C14" s="5" t="s">
        <v>943</v>
      </c>
    </row>
    <row r="15" customFormat="false" ht="17.35" hidden="false" customHeight="false" outlineLevel="0" collapsed="false">
      <c r="A15" s="49"/>
      <c r="B15" s="56" t="s">
        <v>944</v>
      </c>
      <c r="C15" s="7" t="s">
        <v>945</v>
      </c>
    </row>
    <row r="16" customFormat="false" ht="17.35" hidden="false" customHeight="false" outlineLevel="0" collapsed="false">
      <c r="A16" s="48"/>
      <c r="B16" s="55" t="s">
        <v>946</v>
      </c>
      <c r="C16" s="5" t="s">
        <v>947</v>
      </c>
    </row>
  </sheetData>
  <conditionalFormatting sqref="A2:C16">
    <cfRule type="expression" priority="2" aboveAverage="0" equalAverage="0" bottom="0" percent="0" rank="0" text="" dxfId="8">
      <formula>$A2="✓"</formula>
    </cfRule>
  </conditionalFormatting>
  <dataValidations count="1">
    <dataValidation allowBlank="true" errorStyle="stop" operator="between" prompt="Select ✓ when done" promptTitle="Mark complete" showDropDown="false" showErrorMessage="false" showInputMessage="false" sqref="A2:A16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23" t="s">
        <v>948</v>
      </c>
      <c r="B1" s="23" t="s">
        <v>949</v>
      </c>
      <c r="C1" s="23" t="s">
        <v>950</v>
      </c>
    </row>
    <row r="2" customFormat="false" ht="15" hidden="false" customHeight="false" outlineLevel="0" collapsed="false">
      <c r="A2" s="5" t="s">
        <v>951</v>
      </c>
      <c r="B2" s="5" t="s">
        <v>952</v>
      </c>
      <c r="C2" s="5" t="s">
        <v>953</v>
      </c>
    </row>
    <row r="3" customFormat="false" ht="15" hidden="false" customHeight="false" outlineLevel="0" collapsed="false">
      <c r="A3" s="7" t="s">
        <v>954</v>
      </c>
      <c r="B3" s="7" t="s">
        <v>955</v>
      </c>
      <c r="C3" s="7" t="s">
        <v>956</v>
      </c>
    </row>
    <row r="4" customFormat="false" ht="15" hidden="false" customHeight="false" outlineLevel="0" collapsed="false">
      <c r="A4" s="5" t="s">
        <v>957</v>
      </c>
      <c r="B4" s="5" t="s">
        <v>958</v>
      </c>
      <c r="C4" s="5" t="s">
        <v>959</v>
      </c>
    </row>
    <row r="5" customFormat="false" ht="15" hidden="false" customHeight="false" outlineLevel="0" collapsed="false">
      <c r="A5" s="7" t="s">
        <v>960</v>
      </c>
      <c r="B5" s="7" t="s">
        <v>961</v>
      </c>
      <c r="C5" s="7" t="s">
        <v>962</v>
      </c>
    </row>
    <row r="6" customFormat="false" ht="15" hidden="false" customHeight="false" outlineLevel="0" collapsed="false">
      <c r="A6" s="5" t="s">
        <v>963</v>
      </c>
      <c r="B6" s="5" t="s">
        <v>964</v>
      </c>
      <c r="C6" s="5" t="s">
        <v>965</v>
      </c>
    </row>
    <row r="7" customFormat="false" ht="15" hidden="false" customHeight="false" outlineLevel="0" collapsed="false">
      <c r="A7" s="7" t="s">
        <v>966</v>
      </c>
      <c r="B7" s="7" t="s">
        <v>967</v>
      </c>
      <c r="C7" s="7" t="s">
        <v>968</v>
      </c>
    </row>
    <row r="8" customFormat="false" ht="15" hidden="false" customHeight="false" outlineLevel="0" collapsed="false">
      <c r="A8" s="5" t="s">
        <v>969</v>
      </c>
      <c r="B8" s="5" t="s">
        <v>970</v>
      </c>
      <c r="C8" s="5" t="s">
        <v>971</v>
      </c>
    </row>
    <row r="9" customFormat="false" ht="15" hidden="false" customHeight="false" outlineLevel="0" collapsed="false">
      <c r="A9" s="7" t="s">
        <v>972</v>
      </c>
      <c r="B9" s="7" t="s">
        <v>973</v>
      </c>
      <c r="C9" s="7" t="s">
        <v>971</v>
      </c>
    </row>
    <row r="10" customFormat="false" ht="15" hidden="false" customHeight="false" outlineLevel="0" collapsed="false">
      <c r="A10" s="5" t="s">
        <v>974</v>
      </c>
      <c r="B10" s="5" t="s">
        <v>975</v>
      </c>
      <c r="C10" s="5" t="s">
        <v>971</v>
      </c>
    </row>
    <row r="11" customFormat="false" ht="15" hidden="false" customHeight="false" outlineLevel="0" collapsed="false">
      <c r="A11" s="7" t="s">
        <v>976</v>
      </c>
      <c r="B11" s="7" t="s">
        <v>977</v>
      </c>
      <c r="C11" s="7" t="s">
        <v>978</v>
      </c>
    </row>
    <row r="12" customFormat="false" ht="15" hidden="false" customHeight="false" outlineLevel="0" collapsed="false">
      <c r="A12" s="5" t="s">
        <v>979</v>
      </c>
      <c r="B12" s="5" t="s">
        <v>980</v>
      </c>
      <c r="C12" s="5" t="s">
        <v>981</v>
      </c>
    </row>
    <row r="13" customFormat="false" ht="15" hidden="false" customHeight="false" outlineLevel="0" collapsed="false">
      <c r="A13" s="7" t="s">
        <v>982</v>
      </c>
      <c r="B13" s="7" t="s">
        <v>983</v>
      </c>
      <c r="C13" s="7" t="s">
        <v>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2026-05-29T13:31:05Z</dcterms:created>
  <dc:creator>openpyxl</dc:creator>
  <dc:description/>
  <dc:language>en-US</dc:language>
  <cp:lastModifiedBy/>
  <dcterms:modified xsi:type="dcterms:W3CDTF">2026-05-29T13:31:06Z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